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Anleitung &amp; Methodik" sheetId="1" state="visible" r:id="rId1"/>
    <sheet name="2 Outreach-Tracker" sheetId="2" state="visible" r:id="rId2"/>
    <sheet name="3 Tier A – Kernziele" sheetId="3" state="visible" r:id="rId3"/>
    <sheet name="4 Tier B – Solide" sheetId="4" state="visible" r:id="rId4"/>
    <sheet name="5 Tier C – Opportunistisch" sheetId="5" state="visible" r:id="rId5"/>
    <sheet name="6 Tier D – Kein Fit" sheetId="6" state="visible" r:id="rId6"/>
    <sheet name="7 Master" sheetId="7" state="visible" r:id="rId7"/>
    <sheet name="8 Auswertung" sheetId="8" state="visible" r:id="rId8"/>
  </sheets>
  <definedNames>
    <definedName name="_xlnm._FilterDatabase" localSheetId="1" hidden="1">'2 Outreach-Tracker'!$A$4:$V$123</definedName>
    <definedName name="_xlnm._FilterDatabase" localSheetId="2" hidden="1">'3 Tier A – Kernziele'!$A$4:$AF$80</definedName>
    <definedName name="_xlnm._FilterDatabase" localSheetId="3" hidden="1">'4 Tier B – Solide'!$A$4:$AF$47</definedName>
    <definedName name="_xlnm._FilterDatabase" localSheetId="4" hidden="1">'5 Tier C – Opportunistisch'!$A$4:$AF$60</definedName>
    <definedName name="_xlnm._FilterDatabase" localSheetId="5" hidden="1">'6 Tier D – Kein Fit'!$A$4:$AF$21</definedName>
    <definedName name="_xlnm._FilterDatabase" localSheetId="6" hidden="1">'7 Master'!$A$4:$AF$196</definedName>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b val="1"/>
      <color rgb="00FFFFFF"/>
      <sz val="15"/>
    </font>
    <font>
      <name val="Arial"/>
      <i val="1"/>
      <color rgb="00595959"/>
      <sz val="9"/>
    </font>
    <font>
      <name val="Arial"/>
      <b val="1"/>
      <color rgb="00FFFFFF"/>
      <sz val="11"/>
    </font>
    <font>
      <name val="Arial"/>
      <b val="1"/>
      <sz val="10"/>
    </font>
    <font>
      <name val="Arial"/>
      <sz val="10"/>
    </font>
    <font>
      <name val="Arial"/>
      <b val="1"/>
      <sz val="11"/>
    </font>
    <font>
      <name val="Arial"/>
      <b val="1"/>
      <color rgb="00FFFFFF"/>
      <sz val="10"/>
    </font>
    <font>
      <name val="Arial"/>
      <b val="1"/>
      <color rgb="00C55A11"/>
      <sz val="9"/>
    </font>
  </fonts>
  <fills count="10">
    <fill>
      <patternFill/>
    </fill>
    <fill>
      <patternFill patternType="gray125"/>
    </fill>
    <fill>
      <patternFill patternType="solid">
        <fgColor rgb="002E5C8A"/>
      </patternFill>
    </fill>
    <fill>
      <patternFill patternType="solid">
        <fgColor rgb="001F3864"/>
      </patternFill>
    </fill>
    <fill>
      <patternFill patternType="solid">
        <fgColor rgb="00C6E0B4"/>
      </patternFill>
    </fill>
    <fill>
      <patternFill patternType="solid">
        <fgColor rgb="00FFE699"/>
      </patternFill>
    </fill>
    <fill>
      <patternFill patternType="solid">
        <fgColor rgb="00F8CBAD"/>
      </patternFill>
    </fill>
    <fill>
      <patternFill patternType="solid">
        <fgColor rgb="00D9D9D9"/>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vertical="center" inden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5" fillId="4" borderId="1" pivotButton="0" quotePrefix="0" xfId="0"/>
    <xf numFmtId="0" fontId="5" fillId="5" borderId="1" pivotButton="0" quotePrefix="0" xfId="0"/>
    <xf numFmtId="0" fontId="5" fillId="6" borderId="1" pivotButton="0" quotePrefix="0" xfId="0"/>
    <xf numFmtId="0" fontId="5" fillId="7" borderId="1" pivotButton="0" quotePrefix="0" xfId="0"/>
    <xf numFmtId="0" fontId="7" fillId="3" borderId="1" applyAlignment="1" pivotButton="0" quotePrefix="0" xfId="0">
      <alignment horizontal="center" vertical="center" wrapText="1"/>
    </xf>
    <xf numFmtId="0" fontId="5" fillId="4" borderId="1" applyAlignment="1" pivotButton="0" quotePrefix="0" xfId="0">
      <alignment horizontal="left" vertical="top"/>
    </xf>
    <xf numFmtId="0" fontId="5" fillId="4" borderId="1" applyAlignment="1" pivotButton="0" quotePrefix="0" xfId="0">
      <alignment horizontal="center" vertical="top"/>
    </xf>
    <xf numFmtId="0" fontId="5" fillId="4" borderId="1" applyAlignment="1" pivotButton="0" quotePrefix="0" xfId="0">
      <alignment horizontal="left" vertical="top" wrapText="1"/>
    </xf>
    <xf numFmtId="0" fontId="5" fillId="0" borderId="1" applyAlignment="1" pivotButton="0" quotePrefix="0" xfId="0">
      <alignment horizontal="left" vertical="top"/>
    </xf>
    <xf numFmtId="0" fontId="5" fillId="0" borderId="1" applyAlignment="1" pivotButton="0" quotePrefix="0" xfId="0">
      <alignment horizontal="left" vertical="top" wrapText="1"/>
    </xf>
    <xf numFmtId="0" fontId="5" fillId="8" borderId="1" applyAlignment="1" pivotButton="0" quotePrefix="0" xfId="0">
      <alignment horizontal="left" vertical="top" wrapText="1"/>
    </xf>
    <xf numFmtId="0" fontId="5" fillId="0" borderId="1" applyAlignment="1" pivotButton="0" quotePrefix="0" xfId="0">
      <alignment horizontal="center" vertical="top"/>
    </xf>
    <xf numFmtId="164" fontId="5" fillId="0" borderId="1" applyAlignment="1" pivotButton="0" quotePrefix="0" xfId="0">
      <alignment horizontal="center" vertical="top"/>
    </xf>
    <xf numFmtId="0" fontId="5" fillId="5" borderId="1" applyAlignment="1" pivotButton="0" quotePrefix="0" xfId="0">
      <alignment horizontal="center" vertical="top"/>
    </xf>
    <xf numFmtId="0" fontId="5" fillId="9" borderId="1" applyAlignment="1" pivotButton="0" quotePrefix="0" xfId="0">
      <alignment horizontal="center" vertical="top"/>
    </xf>
    <xf numFmtId="0" fontId="5" fillId="5" borderId="1" applyAlignment="1" pivotButton="0" quotePrefix="0" xfId="0">
      <alignment horizontal="left" vertical="top"/>
    </xf>
    <xf numFmtId="0" fontId="5" fillId="5" borderId="1" applyAlignment="1" pivotButton="0" quotePrefix="0" xfId="0">
      <alignment horizontal="left" vertical="top" wrapText="1"/>
    </xf>
    <xf numFmtId="0" fontId="5" fillId="6" borderId="1" applyAlignment="1" pivotButton="0" quotePrefix="0" xfId="0">
      <alignment horizontal="left" vertical="top"/>
    </xf>
    <xf numFmtId="0" fontId="5" fillId="6" borderId="1" applyAlignment="1" pivotButton="0" quotePrefix="0" xfId="0">
      <alignment horizontal="left" vertical="top" wrapText="1"/>
    </xf>
    <xf numFmtId="0" fontId="5" fillId="6" borderId="1" applyAlignment="1" pivotButton="0" quotePrefix="0" xfId="0">
      <alignment horizontal="center" vertical="top"/>
    </xf>
    <xf numFmtId="0" fontId="5" fillId="7" borderId="1" applyAlignment="1" pivotButton="0" quotePrefix="0" xfId="0">
      <alignment horizontal="left" vertical="top"/>
    </xf>
    <xf numFmtId="0" fontId="5" fillId="7" borderId="1" applyAlignment="1" pivotButton="0" quotePrefix="0" xfId="0">
      <alignment horizontal="left" vertical="top" wrapText="1"/>
    </xf>
    <xf numFmtId="0" fontId="5" fillId="7" borderId="1" applyAlignment="1" pivotButton="0" quotePrefix="0" xfId="0">
      <alignment horizontal="center" vertical="top"/>
    </xf>
    <xf numFmtId="0" fontId="5" fillId="0" borderId="1" pivotButton="0" quotePrefix="0" xfId="0"/>
    <xf numFmtId="0" fontId="4" fillId="0" borderId="1" applyAlignment="1" pivotButton="0" quotePrefix="0" xfId="0">
      <alignment horizontal="center"/>
    </xf>
    <xf numFmtId="0" fontId="2" fillId="0" borderId="0" pivotButton="0" quotePrefix="0" xfId="0"/>
  </cellXfs>
  <cellStyles count="1">
    <cellStyle name="Normal" xfId="0" builtinId="0" hidden="0"/>
  </cellStyles>
  <dxfs count="2">
    <dxf>
      <font>
        <color rgb="009C0006"/>
      </font>
      <fill>
        <patternFill patternType="solid">
          <bgColor rgb="00FFC7CE"/>
        </patternFill>
      </fill>
    </dxf>
    <dxf>
      <font>
        <color rgb="00006100"/>
      </font>
      <fill>
        <patternFill patternType="solid">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5C8A"/>
    <outlinePr summaryBelow="1" summaryRight="1"/>
    <pageSetUpPr/>
  </sheetPr>
  <dimension ref="A1:F46"/>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 width="22" customWidth="1" min="5" max="5"/>
    <col width="22" customWidth="1" min="6" max="6"/>
  </cols>
  <sheetData>
    <row r="1" ht="28" customHeight="1">
      <c r="A1" s="1" t="inlineStr">
        <is>
          <t>PathWize – VC-Outreach-Liste</t>
        </is>
      </c>
    </row>
    <row r="2" ht="18" customHeight="1">
      <c r="A2" s="2" t="inlineStr">
        <is>
          <t>Data Labeling / AI · Zielrunde Pre-Seed / Seed / Series A · Stand: Juli 2026</t>
        </is>
      </c>
    </row>
    <row r="5" ht="22" customHeight="1">
      <c r="A5" s="3" t="inlineStr">
        <is>
          <t>SO NUTZT DU DIESE DATEI</t>
        </is>
      </c>
    </row>
    <row r="6" ht="30" customHeight="1">
      <c r="A6" s="4" t="inlineStr">
        <is>
          <t>Blatt 2 – Outreach-Tracker</t>
        </is>
      </c>
      <c r="B6" s="5" t="inlineStr">
        <is>
          <t>Deine Arbeitsliste. Tier A + B, nach Score sortiert und in drei Wellen geschnitten. Hier trägst du Status, Datum und Notizen ein.</t>
        </is>
      </c>
    </row>
    <row r="7" ht="30" customHeight="1">
      <c r="A7" s="4" t="inlineStr">
        <is>
          <t>Blatt 3 – Tier A (Kernziele)</t>
        </is>
      </c>
      <c r="B7" s="5" t="inlineStr">
        <is>
          <t>Höchste Trefferwahrscheinlichkeit: explizite AI-/Data-Infra-These + passende Phase. Hier zuerst starten.</t>
        </is>
      </c>
    </row>
    <row r="8" ht="30" customHeight="1">
      <c r="A8" s="4" t="inlineStr">
        <is>
          <t>Blatt 4 – Tier B (Solide)</t>
        </is>
      </c>
      <c r="B8" s="5" t="inlineStr">
        <is>
          <t>Guter Fit, aber ein Kriterium schwächer (z. B. generalistisch statt AI-first). Zweite Welle.</t>
        </is>
      </c>
    </row>
    <row r="9" ht="30" customHeight="1">
      <c r="A9" s="4" t="inlineStr">
        <is>
          <t>Blatt 5 – Tier C (Opportunistisch)</t>
        </is>
      </c>
      <c r="B9" s="5" t="inlineStr">
        <is>
          <t>Nur mit warmem Intro oder als Co-Investor sinnvoll.</t>
        </is>
      </c>
    </row>
    <row r="10" ht="30" customHeight="1">
      <c r="A10" s="4" t="inlineStr">
        <is>
          <t>Blatt 6 – Tier D (Kein Fit)</t>
        </is>
      </c>
      <c r="B10" s="5" t="inlineStr">
        <is>
          <t>Bewusst dokumentiert, damit niemand doppelt recherchiert. NICHT anschreiben.</t>
        </is>
      </c>
    </row>
    <row r="11" ht="30" customHeight="1">
      <c r="A11" s="4" t="inlineStr">
        <is>
          <t>Blatt 7 – Master (alle VCs)</t>
        </is>
      </c>
      <c r="B11" s="5" t="inlineStr">
        <is>
          <t>Vollständiger Datensatz mit allen Feldern, filterbar.</t>
        </is>
      </c>
    </row>
    <row r="12" ht="30" customHeight="1">
      <c r="A12" s="4" t="inlineStr">
        <is>
          <t>Blatt 8 – Auswertung</t>
        </is>
      </c>
      <c r="B12" s="5" t="inlineStr">
        <is>
          <t>Kennzahlen und Verteilung (Live-Formeln auf den Master).</t>
        </is>
      </c>
    </row>
    <row r="14" ht="22" customHeight="1">
      <c r="A14" s="3" t="inlineStr">
        <is>
          <t>SCORING-MODELL (max. 100 Punkte)</t>
        </is>
      </c>
    </row>
    <row r="15" ht="30" customHeight="1">
      <c r="A15" s="4" t="inlineStr">
        <is>
          <t>Stage-Fit (0–30)</t>
        </is>
      </c>
      <c r="B15" s="5" t="inlineStr">
        <is>
          <t>Investiert der Fonds in Pre-Seed / Seed / Series A? Führt er Runden an? Reine Growth-/Buyout-Fonds erhalten 0–5.</t>
        </is>
      </c>
    </row>
    <row r="16" ht="30" customHeight="1">
      <c r="A16" s="4" t="inlineStr">
        <is>
          <t>Thesen-Fit AI/Data (0–30)</t>
        </is>
      </c>
      <c r="B16" s="5" t="inlineStr">
        <is>
          <t>Explizite These zu AI/ML, Data-Infrastruktur, MLOps, Dev-Tools oder technischem B2B. Reine Climate-/Health-/PropTech-Fonds punkten niedrig.</t>
        </is>
      </c>
    </row>
    <row r="17" ht="30" customHeight="1">
      <c r="A17" s="4" t="inlineStr">
        <is>
          <t>Portfolio-Beleg (0–20)</t>
        </is>
      </c>
      <c r="B17" s="5" t="inlineStr">
        <is>
          <t>Nachgewiesene Investments in AI-, Data-Infra- oder Labeling-Companies (z. B. Encord, V7, Kili, Activeloop, Prolific, Qdrant).</t>
        </is>
      </c>
    </row>
    <row r="18" ht="30" customHeight="1">
      <c r="A18" s="4" t="inlineStr">
        <is>
          <t>Aktivität &amp; Ticket (0–10)</t>
        </is>
      </c>
      <c r="B18" s="5" t="inlineStr">
        <is>
          <t>Aktueller Fonds mit Dry Powder, Ticketgröße passend zur Zielrunde.</t>
        </is>
      </c>
    </row>
    <row r="19" ht="30" customHeight="1">
      <c r="A19" s="4" t="inlineStr">
        <is>
          <t>Geo-Fit (0–10)</t>
        </is>
      </c>
      <c r="B19" s="5" t="inlineStr">
        <is>
          <t>Investiert in DACH bzw. Europa und ist für PathWize praktisch erreichbar.</t>
        </is>
      </c>
    </row>
    <row r="21" ht="22" customHeight="1">
      <c r="A21" s="3" t="inlineStr">
        <is>
          <t>OUTREACH-WELLEN (Spalte B im Tracker)</t>
        </is>
      </c>
    </row>
    <row r="22" ht="30" customHeight="1">
      <c r="A22" s="4" t="inlineStr">
        <is>
          <t>Welle 1 – Platz 1 bis 25</t>
        </is>
      </c>
      <c r="B22" s="5" t="inlineStr">
        <is>
          <t>Höchster Score. Diese zuerst und mit individuell recherchiertem Anschreiben. Hier lohnt sich der Aufwand für ein warmes Intro.</t>
        </is>
      </c>
    </row>
    <row r="23" ht="30" customHeight="1">
      <c r="A23" s="4" t="inlineStr">
        <is>
          <t>Welle 2 – Platz 26 bis 60</t>
        </is>
      </c>
      <c r="B23" s="5" t="inlineStr">
        <is>
          <t>Starten, sobald Welle 1 verschickt ist. So bleibt der Prozess steuerbar und du kannst aus dem Feedback der ersten Welle lernen.</t>
        </is>
      </c>
    </row>
    <row r="24" ht="30" customHeight="1">
      <c r="A24" s="4" t="inlineStr">
        <is>
          <t>Welle 3 – ab Platz 61</t>
        </is>
      </c>
      <c r="B24" s="5" t="inlineStr">
        <is>
          <t>Breitenansprache, sobald Welle 1 und 2 abgearbeitet sind.</t>
        </is>
      </c>
    </row>
    <row r="26" ht="22" customHeight="1">
      <c r="A26" s="3" t="inlineStr">
        <is>
          <t>SPALTE 'LABELING-SIGNAL' – wichtig</t>
        </is>
      </c>
    </row>
    <row r="27" ht="30" customHeight="1">
      <c r="A27" s="4" t="inlineStr">
        <is>
          <t>DIREKT: &lt;Company&gt;</t>
        </is>
      </c>
      <c r="B27" s="5" t="inlineStr">
        <is>
          <t>Der Fonds hat bereits in eine Data-Labeling-/Trainingsdaten-Company investiert (z. B. V7, Encord, Kili, SuperAnnotate, Activeloop). Das ist der stärkste Thesen-Beleg – ABER prüfe vor dem Kontakt, ob es ein direkter Wettbewerber zu PathWize ist. Dann ist der Fonds oft blockiert.</t>
        </is>
      </c>
    </row>
    <row r="28" ht="30" customHeight="1">
      <c r="A28" s="4" t="inlineStr">
        <is>
          <t>Data-Infra-nah</t>
        </is>
      </c>
      <c r="B28" s="5" t="inlineStr">
        <is>
          <t>Investments in Vector-DBs, MLOps, Datenplattformen o. ä. Sehr guter Anknüpfungspunkt ohne Konfliktrisiko.</t>
        </is>
      </c>
    </row>
    <row r="29" ht="30" customHeight="1">
      <c r="A29" s="4" t="inlineStr">
        <is>
          <t>-</t>
        </is>
      </c>
      <c r="B29" s="5" t="inlineStr">
        <is>
          <t>Kein erkennbarer Bezug im recherchierten Portfolio. Argumentation muss über die allgemeine These laufen.</t>
        </is>
      </c>
    </row>
    <row r="31" ht="22" customHeight="1">
      <c r="A31" s="3" t="inlineStr">
        <is>
          <t>TIER-SCHWELLEN</t>
        </is>
      </c>
    </row>
    <row r="32" ht="30" customHeight="1">
      <c r="A32" s="4" t="inlineStr">
        <is>
          <t>Tier A – ab 75 Punkte</t>
        </is>
      </c>
      <c r="B32" s="5" t="inlineStr">
        <is>
          <t>Kernziele. Direkt und priorisiert ansprechen.</t>
        </is>
      </c>
    </row>
    <row r="33" ht="30" customHeight="1">
      <c r="A33" s="4" t="inlineStr">
        <is>
          <t>Tier B – 60 bis 74 Punkte</t>
        </is>
      </c>
      <c r="B33" s="5" t="inlineStr">
        <is>
          <t>Solider Fit. Zweite Outreach-Welle.</t>
        </is>
      </c>
    </row>
    <row r="34" ht="30" customHeight="1">
      <c r="A34" s="4" t="inlineStr">
        <is>
          <t>Tier C – 40 bis 59 Punkte</t>
        </is>
      </c>
      <c r="B34" s="5" t="inlineStr">
        <is>
          <t>Nur mit warmem Intro / als Co-Investor.</t>
        </is>
      </c>
    </row>
    <row r="35" ht="30" customHeight="1">
      <c r="A35" s="4" t="inlineStr">
        <is>
          <t>Tier D – unter 40 Punkte</t>
        </is>
      </c>
      <c r="B35" s="5" t="inlineStr">
        <is>
          <t>Kein Fit (falsche Phase oder falscher Sektor).</t>
        </is>
      </c>
    </row>
    <row r="37" ht="22" customHeight="1">
      <c r="A37" s="3" t="inlineStr">
        <is>
          <t>WICHTIGE HINWEISE</t>
        </is>
      </c>
    </row>
    <row r="38" ht="30" customHeight="1">
      <c r="A38" s="4" t="inlineStr">
        <is>
          <t>Konfidenz-Spalte beachten</t>
        </is>
      </c>
      <c r="B38" s="5" t="inlineStr">
        <is>
          <t>Bei 'Niedrig' waren Fondsgröße, Partner oder These nicht sicher belegbar – vor dem Kontakt kurz auf der Website gegenprüfen.</t>
        </is>
      </c>
    </row>
    <row r="39" ht="30" customHeight="1">
      <c r="A39" s="4" t="inlineStr">
        <is>
          <t>Partner-Namen verifizieren</t>
        </is>
      </c>
      <c r="B39" s="5" t="inlineStr">
        <is>
          <t>VC-Teams wechseln häufig. Vor dem Versand die Partnerseite des Fonds prüfen.</t>
        </is>
      </c>
    </row>
    <row r="40" ht="30" customHeight="1">
      <c r="A40" s="4" t="inlineStr">
        <is>
          <t>Quellen-Spalte</t>
        </is>
      </c>
      <c r="B40" s="5" t="inlineStr">
        <is>
          <t>Enthält die Belege der Recherche – nützlich für die Vorbereitung des Erstgesprächs.</t>
        </is>
      </c>
    </row>
    <row r="42">
      <c r="A42" s="6" t="inlineStr">
        <is>
          <t>Farblegende</t>
        </is>
      </c>
    </row>
    <row r="43">
      <c r="A43" s="7" t="inlineStr">
        <is>
          <t>Tier A – Kernziel</t>
        </is>
      </c>
    </row>
    <row r="44">
      <c r="A44" s="8" t="inlineStr">
        <is>
          <t>Tier B – solide</t>
        </is>
      </c>
    </row>
    <row r="45">
      <c r="A45" s="9" t="inlineStr">
        <is>
          <t>Tier C – opportunistisch</t>
        </is>
      </c>
    </row>
    <row r="46">
      <c r="A46" s="10" t="inlineStr">
        <is>
          <t>Tier D – kein Fit</t>
        </is>
      </c>
    </row>
  </sheetData>
  <mergeCells count="33">
    <mergeCell ref="B7:F7"/>
    <mergeCell ref="B16:F16"/>
    <mergeCell ref="A37:F37"/>
    <mergeCell ref="B22:F22"/>
    <mergeCell ref="A26:F26"/>
    <mergeCell ref="A21:F21"/>
    <mergeCell ref="B18:F18"/>
    <mergeCell ref="B27:F27"/>
    <mergeCell ref="A2:F2"/>
    <mergeCell ref="B12:F12"/>
    <mergeCell ref="B39:F39"/>
    <mergeCell ref="A14:F14"/>
    <mergeCell ref="A5:F5"/>
    <mergeCell ref="B11:F11"/>
    <mergeCell ref="B23:F23"/>
    <mergeCell ref="B8:F8"/>
    <mergeCell ref="B17:F17"/>
    <mergeCell ref="B29:F29"/>
    <mergeCell ref="B38:F38"/>
    <mergeCell ref="B34:F34"/>
    <mergeCell ref="B10:F10"/>
    <mergeCell ref="B28:F28"/>
    <mergeCell ref="B19:F19"/>
    <mergeCell ref="A31:F31"/>
    <mergeCell ref="B40:F40"/>
    <mergeCell ref="B9:F9"/>
    <mergeCell ref="B6:F6"/>
    <mergeCell ref="B24:F24"/>
    <mergeCell ref="B15:F15"/>
    <mergeCell ref="B33:F33"/>
    <mergeCell ref="A1:F1"/>
    <mergeCell ref="B32:F32"/>
    <mergeCell ref="B35:F35"/>
  </mergeCell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V12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26" customWidth="1" min="3" max="3"/>
    <col width="6" customWidth="1" min="4" max="4"/>
    <col width="7" customWidth="1" min="5" max="5"/>
    <col width="14" customWidth="1" min="6" max="6"/>
    <col width="22" customWidth="1" min="7" max="7"/>
    <col width="20" customWidth="1" min="8" max="8"/>
    <col width="32" customWidth="1" min="9" max="9"/>
    <col width="22" customWidth="1" min="10" max="10"/>
    <col width="20" customWidth="1" min="11" max="11"/>
    <col width="30" customWidth="1" min="12" max="12"/>
    <col width="30" customWidth="1" min="13" max="13"/>
    <col width="46" customWidth="1" min="14" max="14"/>
    <col width="46" customWidth="1" min="15" max="15"/>
    <col width="16" customWidth="1" min="16" max="16"/>
    <col width="14" customWidth="1" min="17" max="17"/>
    <col width="14" customWidth="1" min="18" max="18"/>
    <col width="14" customWidth="1" min="19" max="19"/>
    <col width="14" customWidth="1" min="20" max="20"/>
    <col width="28" customWidth="1" min="21" max="21"/>
    <col width="36" customWidth="1" min="22" max="22"/>
  </cols>
  <sheetData>
    <row r="1" ht="28" customHeight="1">
      <c r="A1" s="1" t="inlineStr">
        <is>
          <t>Outreach-Tracker – Tier A + B</t>
        </is>
      </c>
    </row>
    <row r="2" ht="18" customHeight="1">
      <c r="A2" s="2" t="inlineStr">
        <is>
          <t>Nach Score sortiert, in drei Wellen geschnitten. Spalten P–V sind deine Arbeitsspalten (Dropdowns hinterlegt).</t>
        </is>
      </c>
    </row>
    <row r="4" ht="34" customHeight="1">
      <c r="A4" s="11" t="inlineStr">
        <is>
          <t>Prio</t>
        </is>
      </c>
      <c r="B4" s="11" t="inlineStr">
        <is>
          <t>Welle</t>
        </is>
      </c>
      <c r="C4" s="11" t="inlineStr">
        <is>
          <t>VC / Fonds</t>
        </is>
      </c>
      <c r="D4" s="11" t="inlineStr">
        <is>
          <t>Tier</t>
        </is>
      </c>
      <c r="E4" s="11" t="inlineStr">
        <is>
          <t>Score</t>
        </is>
      </c>
      <c r="F4" s="11" t="inlineStr">
        <is>
          <t>Stadt</t>
        </is>
      </c>
      <c r="G4" s="11" t="inlineStr">
        <is>
          <t>Stage-Fokus</t>
        </is>
      </c>
      <c r="H4" s="11" t="inlineStr">
        <is>
          <t>Ticket-Size</t>
        </is>
      </c>
      <c r="I4" s="11" t="inlineStr">
        <is>
          <t>Labeling-Signal</t>
        </is>
      </c>
      <c r="J4" s="11" t="inlineStr">
        <is>
          <t>Relevanter Partner</t>
        </is>
      </c>
      <c r="K4" s="11" t="inlineStr">
        <is>
          <t>Rolle</t>
        </is>
      </c>
      <c r="L4" s="11" t="inlineStr">
        <is>
          <t>LinkedIn</t>
        </is>
      </c>
      <c r="M4" s="11" t="inlineStr">
        <is>
          <t>Kontakt</t>
        </is>
      </c>
      <c r="N4" s="11" t="inlineStr">
        <is>
          <t>Outreach-Angle</t>
        </is>
      </c>
      <c r="O4" s="11" t="inlineStr">
        <is>
          <t>Fit-Begruendung</t>
        </is>
      </c>
      <c r="P4" s="11" t="inlineStr">
        <is>
          <t>Status</t>
        </is>
      </c>
      <c r="Q4" s="11" t="inlineStr">
        <is>
          <t>Kanal</t>
        </is>
      </c>
      <c r="R4" s="11" t="inlineStr">
        <is>
          <t>Kontaktiert am</t>
        </is>
      </c>
      <c r="S4" s="11" t="inlineStr">
        <is>
          <t>Follow-up am</t>
        </is>
      </c>
      <c r="T4" s="11" t="inlineStr">
        <is>
          <t>Antwort</t>
        </is>
      </c>
      <c r="U4" s="11" t="inlineStr">
        <is>
          <t>Naechster Schritt</t>
        </is>
      </c>
      <c r="V4" s="11" t="inlineStr">
        <is>
          <t>Notizen</t>
        </is>
      </c>
    </row>
    <row r="5">
      <c r="A5" s="12" t="n">
        <v>1</v>
      </c>
      <c r="B5" s="13" t="inlineStr">
        <is>
          <t>1</t>
        </is>
      </c>
      <c r="C5" s="14" t="inlineStr">
        <is>
          <t>Air Street Capital</t>
        </is>
      </c>
      <c r="D5" s="13" t="inlineStr">
        <is>
          <t>A</t>
        </is>
      </c>
      <c r="E5" s="13" t="n">
        <v>98</v>
      </c>
      <c r="F5" s="15" t="inlineStr">
        <is>
          <t>London</t>
        </is>
      </c>
      <c r="G5" s="16" t="inlineStr">
        <is>
          <t>Pre-Seed / Seed (fuehrt Runden an), selektiv Growth bis 25 Mio. USD</t>
        </is>
      </c>
      <c r="H5" s="16" t="inlineStr">
        <is>
          <t>0,5-15 Mio. USD Erstticket, Growth bis 25 Mio. USD</t>
        </is>
      </c>
      <c r="I5" s="17" t="inlineStr">
        <is>
          <t>DIREKT: V7 – Wettbewerbskonflikt pruefen</t>
        </is>
      </c>
      <c r="J5" s="16" t="inlineStr">
        <is>
          <t>Nathan Benaich</t>
        </is>
      </c>
      <c r="K5" s="16" t="inlineStr">
        <is>
          <t>Founder &amp; Solo General Partner, Autor 'State of AI Report'</t>
        </is>
      </c>
      <c r="L5" s="16" t="inlineStr">
        <is>
          <t>n/a</t>
        </is>
      </c>
      <c r="M5" s="16" t="inlineStr">
        <is>
          <t>Kein oeffentliches Pitch-Formular gefunden; Kontakt via LinkedIn (linkedin.com/company/airstreetcapital) oder X @airstreet</t>
        </is>
      </c>
      <c r="N5" s="16" t="inlineStr">
        <is>
          <t>Warmer Intro ueber das Air-Street-Netzwerk mit der These, dass Europa nach V7 einen eigenen Human-in-the-loop-Trainingsdaten-Layer mit DACH-Enterprise-Zugang braucht.</t>
        </is>
      </c>
      <c r="O5" s="16" t="inlineStr">
        <is>
          <t>Reiner AI-first-Fonds mit frischem 232-Mio.-USD-Fonds, der Pre-Seed/Seed anfuehrt und mit V7 bereits ein Trainingsdaten-Investment haelt - thesenseitig praktisch deckungsgleich mit PathWize.</t>
        </is>
      </c>
      <c r="P5" s="18" t="inlineStr">
        <is>
          <t>Offen</t>
        </is>
      </c>
      <c r="Q5" s="18" t="inlineStr"/>
      <c r="R5" s="19" t="inlineStr"/>
      <c r="S5" s="19" t="inlineStr"/>
      <c r="T5" s="18" t="inlineStr"/>
      <c r="U5" s="16" t="inlineStr"/>
      <c r="V5" s="16" t="inlineStr"/>
    </row>
    <row r="6">
      <c r="A6" s="12" t="n">
        <v>2</v>
      </c>
      <c r="B6" s="13" t="inlineStr">
        <is>
          <t>1</t>
        </is>
      </c>
      <c r="C6" s="14" t="inlineStr">
        <is>
          <t>Crane Venture Partners</t>
        </is>
      </c>
      <c r="D6" s="13" t="inlineStr">
        <is>
          <t>A</t>
        </is>
      </c>
      <c r="E6" s="13" t="n">
        <v>97</v>
      </c>
      <c r="F6" s="15" t="inlineStr">
        <is>
          <t>London (weitere Standorte San Francisco, New York, Singapur, Bangalore)</t>
        </is>
      </c>
      <c r="G6" s="16" t="inlineStr">
        <is>
          <t>Inception / Pre-Seed bis Seed, teils Series A</t>
        </is>
      </c>
      <c r="H6" s="16" t="inlineStr">
        <is>
          <t>ca. 1-3 Mio. USD; durchschnittliche Seed-Runde im Portfolio 4,66 Mio. USD</t>
        </is>
      </c>
      <c r="I6" s="17" t="inlineStr">
        <is>
          <t>DIREKT: Encord – Wettbewerbskonflikt pruefen</t>
        </is>
      </c>
      <c r="J6" s="16" t="inlineStr">
        <is>
          <t>Max Chapman</t>
        </is>
      </c>
      <c r="K6" s="16" t="inlineStr">
        <is>
          <t>Principal / Investor mit Remit Data- und AI-Infrastruktur (zuvor Sierra Ventures, dort Enterprise-Data/AI-Infra)</t>
        </is>
      </c>
      <c r="L6" s="16" t="inlineStr">
        <is>
          <t>https://www.linkedin.com/in/max-chapman-343a0a134/</t>
        </is>
      </c>
      <c r="M6" s="16" t="inlineStr">
        <is>
          <t>https://crane.vc/contact</t>
        </is>
      </c>
      <c r="N6" s="16" t="inlineStr">
        <is>
          <t>Max Chapman direkt mit einer scharfen Abgrenzung zu Encord ansprechen: welchen Teil des Trainingsdaten-Stacks PathWize besetzt, den Encord strukturell nicht bedient.</t>
        </is>
      </c>
      <c r="O6" s="16" t="inlineStr">
        <is>
          <t>Crane investiert ausschliesslich Seed in Data-/ML-Infrastruktur und Dev Tools und hat mit Encord die wohl relevanteste europaeische Annotation-Company von Seed bis Series C begleitet - maximale Domaenenkompetenz fuer PathWize.</t>
        </is>
      </c>
      <c r="P6" s="18" t="inlineStr">
        <is>
          <t>Offen</t>
        </is>
      </c>
      <c r="Q6" s="18" t="inlineStr"/>
      <c r="R6" s="19" t="inlineStr"/>
      <c r="S6" s="19" t="inlineStr"/>
      <c r="T6" s="18" t="inlineStr"/>
      <c r="U6" s="16" t="inlineStr"/>
      <c r="V6" s="16" t="inlineStr"/>
    </row>
    <row r="7">
      <c r="A7" s="12" t="n">
        <v>3</v>
      </c>
      <c r="B7" s="13" t="inlineStr">
        <is>
          <t>1</t>
        </is>
      </c>
      <c r="C7" s="14" t="inlineStr">
        <is>
          <t>Earlybird Venture Capital</t>
        </is>
      </c>
      <c r="D7" s="13" t="inlineStr">
        <is>
          <t>A</t>
        </is>
      </c>
      <c r="E7" s="13" t="n">
        <v>97</v>
      </c>
      <c r="F7" s="15" t="inlineStr">
        <is>
          <t>Berlin (Büros München, London, Mailand)</t>
        </is>
      </c>
      <c r="G7" s="16" t="inlineStr">
        <is>
          <t>Pre-Seed (ca. 20%), Seed (ca. 60%), Series A (ca. 20%)</t>
        </is>
      </c>
      <c r="H7" s="16" t="inlineStr">
        <is>
          <t>Erstinvestments bis 12 Mio. EUR</t>
        </is>
      </c>
      <c r="I7" s="16" t="inlineStr">
        <is>
          <t>-</t>
        </is>
      </c>
      <c r="J7" s="16" t="inlineStr">
        <is>
          <t>Dr. Andre Retterath</t>
        </is>
      </c>
      <c r="K7" s="16" t="inlineStr">
        <is>
          <t>Partner, leitet die AI- und Infrastruktur-Practice (seit 2017 bei Earlybird)</t>
        </is>
      </c>
      <c r="L7" s="16" t="inlineStr">
        <is>
          <t>n/a</t>
        </is>
      </c>
      <c r="M7" s="16" t="inlineStr">
        <is>
          <t>https://earlybird.com/contact-us (Kontaktformular)</t>
        </is>
      </c>
      <c r="N7" s="16" t="inlineStr">
        <is>
          <t>Andre Retterath direkt mit einer datengetriebenen These ansprechen: PathWize liefert die Human-in-the-Loop-Trainingsdatenschicht, die Earlybird-Portfoliofirmen wie Black Forest Labs und Aleph Alpha für Modell-Feintuning und Evaluation brauchen.</t>
        </is>
      </c>
      <c r="O7" s="16" t="inlineStr">
        <is>
          <t>Earlybird nennt AI-Applications und Software-Infrastruktur als zwei von drei Kernsäulen des frisch geschlossenen 360-Mio.-EUR-Fund-VIII und investiert genau in der Pre-Seed-bis-Series-A-Spanne von PathWize. Mit Black Forest Labs und Aleph Alpha sitzen direkte Trainingsdaten-Abnehmer im Portfolio, und mit Andre Retterath gibt es einen dedizierten AI-Infrastruktur-Partner.</t>
        </is>
      </c>
      <c r="P7" s="18" t="inlineStr">
        <is>
          <t>Offen</t>
        </is>
      </c>
      <c r="Q7" s="18" t="inlineStr"/>
      <c r="R7" s="19" t="inlineStr"/>
      <c r="S7" s="19" t="inlineStr"/>
      <c r="T7" s="18" t="inlineStr"/>
      <c r="U7" s="16" t="inlineStr"/>
      <c r="V7" s="16" t="inlineStr"/>
    </row>
    <row r="8">
      <c r="A8" s="12" t="n">
        <v>4</v>
      </c>
      <c r="B8" s="13" t="inlineStr">
        <is>
          <t>1</t>
        </is>
      </c>
      <c r="C8" s="14" t="inlineStr">
        <is>
          <t>Picus Capital</t>
        </is>
      </c>
      <c r="D8" s="13" t="inlineStr">
        <is>
          <t>A</t>
        </is>
      </c>
      <c r="E8" s="13" t="n">
        <v>96</v>
      </c>
      <c r="F8" s="15" t="inlineStr">
        <is>
          <t>München</t>
        </is>
      </c>
      <c r="G8" s="16" t="inlineStr">
        <is>
          <t>Pre-Seed, Seed, Series A (Follow-ons bis Series B)</t>
        </is>
      </c>
      <c r="H8" s="16" t="inlineStr">
        <is>
          <t>Erstinvestments typischerweise 250.000 - 750.000 USD, Follow-ons deutlich höher; keine offizielle Range publiziert</t>
        </is>
      </c>
      <c r="I8" s="16" t="inlineStr">
        <is>
          <t>Data-Infra-nah</t>
        </is>
      </c>
      <c r="J8" s="16" t="inlineStr">
        <is>
          <t>Florian Reichert</t>
        </is>
      </c>
      <c r="K8" s="16" t="inlineStr">
        <is>
          <t>Partner &amp; Managing Director, verantwortet Cybersecurity- und AI/Data-Investments (seit 2017 bei Picus, zuvor BCG Zürich); alternativ Robin Godenrath (Founding Partner/MD) und Alexander Kremer (Partner, Data Infrastructure)</t>
        </is>
      </c>
      <c r="L8" s="16" t="inlineStr">
        <is>
          <t>https://www.linkedin.com/in/florian-reichert-661b98a2/</t>
        </is>
      </c>
      <c r="M8" s="16" t="inlineStr">
        <is>
          <t>info@picuscap.com; Leopoldstraße 20, 80802 München</t>
        </is>
      </c>
      <c r="N8" s="16" t="inlineStr">
        <is>
          <t>Florian Reichert direkt mit der Stack-Lücke ansprechen: Picus hat Greptime, TensorChord und Orca — PathWize ist die Human-in-the-loop-Trainingsdatenschicht, die diesem AI-Data-Stack noch fehlt.</t>
        </is>
      </c>
      <c r="O8" s="16" t="inlineStr">
        <is>
          <t>Picus nennt 'AI &amp; Data' und 'Enterprise Infrastructure' als benannte Kernsektoren, investiert von Pre-Seed bis Series A und hat mit Greptime, TensorChord und Orca bereits mehrfach in Data-Infrastruktur investiert. Der Münchner HQ macht den DACH-Zugang trivial.</t>
        </is>
      </c>
      <c r="P8" s="18" t="inlineStr">
        <is>
          <t>Offen</t>
        </is>
      </c>
      <c r="Q8" s="18" t="inlineStr"/>
      <c r="R8" s="19" t="inlineStr"/>
      <c r="S8" s="19" t="inlineStr"/>
      <c r="T8" s="18" t="inlineStr"/>
      <c r="U8" s="16" t="inlineStr"/>
      <c r="V8" s="16" t="inlineStr"/>
    </row>
    <row r="9">
      <c r="A9" s="12" t="n">
        <v>5</v>
      </c>
      <c r="B9" s="13" t="inlineStr">
        <is>
          <t>1</t>
        </is>
      </c>
      <c r="C9" s="14" t="inlineStr">
        <is>
          <t>Point Nine Capital</t>
        </is>
      </c>
      <c r="D9" s="13" t="inlineStr">
        <is>
          <t>A</t>
        </is>
      </c>
      <c r="E9" s="13" t="n">
        <v>96</v>
      </c>
      <c r="F9" s="15" t="inlineStr">
        <is>
          <t>Berlin</t>
        </is>
      </c>
      <c r="G9" s="16" t="inlineStr">
        <is>
          <t>Seed (teils Pre-Seed), Pro-Rata bis Series A</t>
        </is>
      </c>
      <c r="H9" s="16" t="inlineStr">
        <is>
          <t>1-10 Mio. USD pro Unternehmen</t>
        </is>
      </c>
      <c r="I9" s="17" t="inlineStr">
        <is>
          <t>DIREKT: Superannotate – Wettbewerbskonflikt pruefen</t>
        </is>
      </c>
      <c r="J9" s="16" t="inlineStr">
        <is>
          <t>Christoph Janz</t>
        </is>
      </c>
      <c r="K9" s="16" t="inlineStr">
        <is>
          <t>Managing Partner (Berlin); weitere Investment Partner: Pawel Chudzinski, Louis Coppey, Ricardo Sequerra Amram</t>
        </is>
      </c>
      <c r="L9" s="16" t="inlineStr">
        <is>
          <t>n/a</t>
        </is>
      </c>
      <c r="M9" s="16" t="inlineStr">
        <is>
          <t>Pitch ueber das Kontaktformular auf pointnine.com; Content-Kanal writing.pointnine.com</t>
        </is>
      </c>
      <c r="N9" s="16" t="inlineStr">
        <is>
          <t>Ueber das Kontaktformular an Christoph Janz mit klarer Abgrenzung zu SuperAnnotate: PathWize als europaeischer, DSGVO-konformer Human-in-the-loop-Layer mit eigener Nische statt Tooling-Wettbewerb.</t>
        </is>
      </c>
      <c r="O9" s="16" t="inlineStr">
        <is>
          <t>Berliner Seed-Lead mit expliziter AI-These und dem einzigen belegten Data-Labeling-Investment der Batch (Lead der SuperAnnotate-Seed-Runde) - Sektor, Stage und Geo treffen PathWize praktisch punktgenau.</t>
        </is>
      </c>
      <c r="P9" s="18" t="inlineStr">
        <is>
          <t>Offen</t>
        </is>
      </c>
      <c r="Q9" s="18" t="inlineStr"/>
      <c r="R9" s="19" t="inlineStr"/>
      <c r="S9" s="19" t="inlineStr"/>
      <c r="T9" s="18" t="inlineStr"/>
      <c r="U9" s="16" t="inlineStr"/>
      <c r="V9" s="16" t="inlineStr"/>
    </row>
    <row r="10">
      <c r="A10" s="12" t="n">
        <v>6</v>
      </c>
      <c r="B10" s="13" t="inlineStr">
        <is>
          <t>1</t>
        </is>
      </c>
      <c r="C10" s="14" t="inlineStr">
        <is>
          <t>SquareOne</t>
        </is>
      </c>
      <c r="D10" s="13" t="inlineStr">
        <is>
          <t>A</t>
        </is>
      </c>
      <c r="E10" s="13" t="n">
        <v>96</v>
      </c>
      <c r="F10" s="15" t="inlineStr">
        <is>
          <t>Berlin</t>
        </is>
      </c>
      <c r="G10" s="16" t="inlineStr">
        <is>
          <t>Pre-Seed und Seed</t>
        </is>
      </c>
      <c r="H10" s="16" t="inlineStr">
        <is>
          <t>n/a (nicht oeffentlich beziffert; auf Basis Fondsgroesse und Stage typischerweise im niedrigen einstelligen Millionenbereich)</t>
        </is>
      </c>
      <c r="I10" s="16" t="inlineStr">
        <is>
          <t>-</t>
        </is>
      </c>
      <c r="J10" s="16" t="inlineStr">
        <is>
          <t>Georg Stockinger</t>
        </is>
      </c>
      <c r="K10" s="16" t="inlineStr">
        <is>
          <t>Partner (weiterer Partner: Christian Buchenau; Principal: Charlotte Baumhauer)</t>
        </is>
      </c>
      <c r="L10" s="16" t="inlineStr">
        <is>
          <t>https://www.linkedin.com/in/gstockinger/</t>
        </is>
      </c>
      <c r="M10" s="16" t="inlineStr">
        <is>
          <t>Kontakt ueber https://www.squareone.vc/ und LinkedIn der Partner (keine oeffentliche Pitch-E-Mail; FAQ als Notion-Seite verlinkt)</t>
        </is>
      </c>
      <c r="N10" s="16" t="inlineStr">
        <is>
          <t>Ueber Ultralytics einsteigen: 'Ihr habt in die Modelle investiert - PathWize liefert die annotierten Domaenendaten, an denen jede Computer-Vision-Deployment in der Praxis haengt.'</t>
        </is>
      </c>
      <c r="O10" s="16" t="inlineStr">
        <is>
          <t>Berliner Pre-Seed/Seed-Lead mit EUR 100 Mio. frischem Fonds, reiner B2B-Deep-Tech-These und mit Ultralytics einem Portfoliounternehmen direkt im Computer-Vision-Modell-Stack - der beste Fit dieser Batch.</t>
        </is>
      </c>
      <c r="P10" s="18" t="inlineStr">
        <is>
          <t>Offen</t>
        </is>
      </c>
      <c r="Q10" s="18" t="inlineStr"/>
      <c r="R10" s="19" t="inlineStr"/>
      <c r="S10" s="19" t="inlineStr"/>
      <c r="T10" s="18" t="inlineStr"/>
      <c r="U10" s="16" t="inlineStr"/>
      <c r="V10" s="16" t="inlineStr"/>
    </row>
    <row r="11">
      <c r="A11" s="12" t="n">
        <v>7</v>
      </c>
      <c r="B11" s="13" t="inlineStr">
        <is>
          <t>1</t>
        </is>
      </c>
      <c r="C11" s="14" t="inlineStr">
        <is>
          <t>468 Capital</t>
        </is>
      </c>
      <c r="D11" s="13" t="inlineStr">
        <is>
          <t>A</t>
        </is>
      </c>
      <c r="E11" s="13" t="n">
        <v>95</v>
      </c>
      <c r="F11" s="15" t="inlineStr">
        <is>
          <t>Berlin (zusaetzlich San Francisco)</t>
        </is>
      </c>
      <c r="G11" s="16" t="inlineStr">
        <is>
          <t>Day 0 / Pre-Seed, Seed und Series A/B</t>
        </is>
      </c>
      <c r="H11" s="16" t="inlineStr">
        <is>
          <t>Erstickets im Bereich 0,1-1,5 Mio. EUR bei Pre-Seed, deutlich hoeher bei Seed/Series A (Drittquellen, indikativ)</t>
        </is>
      </c>
      <c r="I11" s="17" t="inlineStr">
        <is>
          <t>DIREKT: Activeloop – Wettbewerbskonflikt pruefen</t>
        </is>
      </c>
      <c r="J11" s="16" t="inlineStr">
        <is>
          <t>Ludwig Ensthaler</t>
        </is>
      </c>
      <c r="K11" s="16" t="inlineStr">
        <is>
          <t>General Partner und Mitgruender (Berlin); neben Florian Leibert (Mitgruender Mesosphere/D2iQ) und Alexander Kudlich</t>
        </is>
      </c>
      <c r="L11" s="16" t="inlineStr">
        <is>
          <t>https://www.linkedin.com/in/ludwig-ensthaler-1b460143/</t>
        </is>
      </c>
      <c r="M11" s="16" t="inlineStr">
        <is>
          <t>Kein oeffentliches Pitch-Formular oder E-Mail auf 468cap.com gefunden</t>
        </is>
      </c>
      <c r="N11" s="16" t="inlineStr">
        <is>
          <t>Ueber die Activeloop-/Iterative-These einsteigen: PathWize liefert die menschliche Qualitaetsschicht ueber genau der Trainingsdaten-Infrastruktur, in die 468 bereits investiert hat.</t>
        </is>
      </c>
      <c r="O11" s="16" t="inlineStr">
        <is>
          <t>Berliner Fonds mit AI-&amp;-Automation-These, der mit Activeloop und Iterative.ai bereits zweimal in Trainingsdaten- und ML-Data-Infrastruktur investiert hat und weiterhin aktiv Seed-Runden zeichnet (12 Neuinvestments in den letzten 12 Monaten).</t>
        </is>
      </c>
      <c r="P11" s="18" t="inlineStr">
        <is>
          <t>Offen</t>
        </is>
      </c>
      <c r="Q11" s="18" t="inlineStr"/>
      <c r="R11" s="19" t="inlineStr"/>
      <c r="S11" s="19" t="inlineStr"/>
      <c r="T11" s="18" t="inlineStr"/>
      <c r="U11" s="16" t="inlineStr"/>
      <c r="V11" s="16" t="inlineStr"/>
    </row>
    <row r="12">
      <c r="A12" s="12" t="n">
        <v>8</v>
      </c>
      <c r="B12" s="13" t="inlineStr">
        <is>
          <t>1</t>
        </is>
      </c>
      <c r="C12" s="14" t="inlineStr">
        <is>
          <t>DIG Ventures</t>
        </is>
      </c>
      <c r="D12" s="13" t="inlineStr">
        <is>
          <t>A</t>
        </is>
      </c>
      <c r="E12" s="13" t="n">
        <v>95</v>
      </c>
      <c r="F12" s="15" t="inlineStr">
        <is>
          <t>London</t>
        </is>
      </c>
      <c r="G12" s="16" t="inlineStr">
        <is>
          <t>Pre-Seed und Seed</t>
        </is>
      </c>
      <c r="H12" s="16" t="inlineStr">
        <is>
          <t>n/a (nicht oeffentlich; Pre-Seed/Seed-typisch)</t>
        </is>
      </c>
      <c r="I12" s="16" t="inlineStr">
        <is>
          <t>Data-Infra-nah</t>
        </is>
      </c>
      <c r="J12" s="16" t="inlineStr">
        <is>
          <t>Ross Mason</t>
        </is>
      </c>
      <c r="K12" s="16" t="inlineStr">
        <is>
          <t>Founder &amp; General Partner (Gruender von MuleSoft); Melissa Klinger (Partner)</t>
        </is>
      </c>
      <c r="L12" s="16" t="inlineStr">
        <is>
          <t>n/a</t>
        </is>
      </c>
      <c r="M12" s="16" t="inlineStr">
        <is>
          <t>hello@dig.ventures</t>
        </is>
      </c>
      <c r="N12" s="16" t="inlineStr">
        <is>
          <t>Mail an hello@dig.ventures mit dem Infrastruktur-Framing: PathWize als Trainingsdaten-Pipeline neben Prophecy und Rossum, mit Verweis auf den deutschen Portfolio-Case Dash0 als Beleg fuer DACH-Anschluss.</t>
        </is>
      </c>
      <c r="O12" s="16" t="inlineStr">
        <is>
          <t>Nennt AI und Cloud-/Data-Infrastruktur explizit als Kernthese, hat mit Prophecy, Deepnote, PlanetScale und Rossum ein dichtes Data-Infra-Buch und mit dem deutschen Dash0 einen belegten DACH-Deal aus einem frischen 100-Mio.-USD-Fonds.</t>
        </is>
      </c>
      <c r="P12" s="18" t="inlineStr">
        <is>
          <t>Offen</t>
        </is>
      </c>
      <c r="Q12" s="18" t="inlineStr"/>
      <c r="R12" s="19" t="inlineStr"/>
      <c r="S12" s="19" t="inlineStr"/>
      <c r="T12" s="18" t="inlineStr"/>
      <c r="U12" s="16" t="inlineStr"/>
      <c r="V12" s="16" t="inlineStr"/>
    </row>
    <row r="13">
      <c r="A13" s="12" t="n">
        <v>9</v>
      </c>
      <c r="B13" s="13" t="inlineStr">
        <is>
          <t>1</t>
        </is>
      </c>
      <c r="C13" s="14" t="inlineStr">
        <is>
          <t>Merantix Capital</t>
        </is>
      </c>
      <c r="D13" s="13" t="inlineStr">
        <is>
          <t>A</t>
        </is>
      </c>
      <c r="E13" s="13" t="n">
        <v>95</v>
      </c>
      <c r="F13" s="15" t="inlineStr">
        <is>
          <t>Berlin</t>
        </is>
      </c>
      <c r="G13" s="16" t="inlineStr">
        <is>
          <t>Pre-Idea, Pre-Seed, Seed</t>
        </is>
      </c>
      <c r="H13" s="16" t="inlineStr">
        <is>
          <t>500 Tsd. - 4 Mio. EUR</t>
        </is>
      </c>
      <c r="I13" s="16" t="inlineStr">
        <is>
          <t>-</t>
        </is>
      </c>
      <c r="J13" s="16" t="inlineStr">
        <is>
          <t>Dr. Rasmus Rothe</t>
        </is>
      </c>
      <c r="K13" s="16" t="inlineStr">
        <is>
          <t>Co-Founder &amp; General Partner (PhD Computer Vision/Deep Learning ETH Zuerich, Vorsitzender KI Bundesverband); weitere: Adrian Locher (Co-Founder &amp; GP), Nicole Buettner (Founding Partner), Matthieu Dederichs (Venture Partner)</t>
        </is>
      </c>
      <c r="L13" s="16" t="inlineStr">
        <is>
          <t>n/a</t>
        </is>
      </c>
      <c r="M13" s="16" t="inlineStr">
        <is>
          <t>Kein oeffentliches Pitch-Formular auf der Invest-Seite; Kontakt ueber merantix-capital.com bzw. Merantix AI Campus Berlin</t>
        </is>
      </c>
      <c r="N13" s="16" t="inlineStr">
        <is>
          <t>Ueber den Merantix AI Campus in Berlin andocken und PathWize als AI-native Dateninfrastruktur fuer die europaeischen Kernindustrien pitchen, die Merantix bereits adressiert (Manufacturing, Robotics, Defense).</t>
        </is>
      </c>
      <c r="O13" s="16" t="inlineStr">
        <is>
          <t>Reiner AI-Fonds in Berlin mit brandneuen 103 Mio. EUR (Jun 2026), Ticketgroesse 0,5-4 Mio. EUR und ca. 40 geplanten Pre-Seed-/Seed-Investments - Stage, Sektor, Geo und Timing decken sich vollstaendig mit PathWize.</t>
        </is>
      </c>
      <c r="P13" s="18" t="inlineStr">
        <is>
          <t>Offen</t>
        </is>
      </c>
      <c r="Q13" s="18" t="inlineStr"/>
      <c r="R13" s="19" t="inlineStr"/>
      <c r="S13" s="19" t="inlineStr"/>
      <c r="T13" s="18" t="inlineStr"/>
      <c r="U13" s="16" t="inlineStr"/>
      <c r="V13" s="16" t="inlineStr"/>
    </row>
    <row r="14">
      <c r="A14" s="12" t="n">
        <v>10</v>
      </c>
      <c r="B14" s="13" t="inlineStr">
        <is>
          <t>1</t>
        </is>
      </c>
      <c r="C14" s="14" t="inlineStr">
        <is>
          <t>Fly Ventures</t>
        </is>
      </c>
      <c r="D14" s="13" t="inlineStr">
        <is>
          <t>A</t>
        </is>
      </c>
      <c r="E14" s="13" t="n">
        <v>94</v>
      </c>
      <c r="F14" s="15" t="inlineStr">
        <is>
          <t>Berlin</t>
        </is>
      </c>
      <c r="G14" s="16" t="inlineStr">
        <is>
          <t>Day-Zero / Pre-Seed bis Seed</t>
        </is>
      </c>
      <c r="H14" s="16" t="inlineStr">
        <is>
          <t>1-4 Mio. EUR in Runden von 2-10 Mio. EUR</t>
        </is>
      </c>
      <c r="I14" s="16" t="inlineStr">
        <is>
          <t>-</t>
        </is>
      </c>
      <c r="J14" s="16" t="inlineStr">
        <is>
          <t>Gabriel Matuschka</t>
        </is>
      </c>
      <c r="K14" s="16" t="inlineStr">
        <is>
          <t>Founding Partner / General Partner (gleichrangiges GP-Modell mit Fredrik Bergenlid, Matt Wichrowski, Marie Brayer)</t>
        </is>
      </c>
      <c r="L14" s="16" t="inlineStr">
        <is>
          <t>n/a</t>
        </is>
      </c>
      <c r="M14" s="16" t="inlineStr">
        <is>
          <t>Kein oeffentliches Pitch-Formular oder E-Mail auf fly.vc gefunden; Kontakt ueber LinkedIn der GPs</t>
        </is>
      </c>
      <c r="N14" s="16" t="inlineStr">
        <is>
          <t>Ueber die Wayve-Analogie einsteigen: Ohne skalierbare, hochwertige Human-in-the-loop-Trainingsdaten kommt kein europaeisches Frontier-AI-Team in Produktion - PathWize ist dieser Layer.</t>
        </is>
      </c>
      <c r="O14" s="16" t="inlineStr">
        <is>
          <t>Berliner First-Check-Fonds mit frischem 80-Mio.-EUR-Fonds, der fast die Haelfte seines Kapitals in AI und ein Fuenftel in Dev Tools/Infra allokiert und explizit technische Gruender in der Fruehphase anfuehrt.</t>
        </is>
      </c>
      <c r="P14" s="18" t="inlineStr">
        <is>
          <t>Offen</t>
        </is>
      </c>
      <c r="Q14" s="18" t="inlineStr"/>
      <c r="R14" s="19" t="inlineStr"/>
      <c r="S14" s="19" t="inlineStr"/>
      <c r="T14" s="18" t="inlineStr"/>
      <c r="U14" s="16" t="inlineStr"/>
      <c r="V14" s="16" t="inlineStr"/>
    </row>
    <row r="15">
      <c r="A15" s="12" t="n">
        <v>11</v>
      </c>
      <c r="B15" s="13" t="inlineStr">
        <is>
          <t>1</t>
        </is>
      </c>
      <c r="C15" s="14" t="inlineStr">
        <is>
          <t>Headline</t>
        </is>
      </c>
      <c r="D15" s="13" t="inlineStr">
        <is>
          <t>A</t>
        </is>
      </c>
      <c r="E15" s="13" t="n">
        <v>94</v>
      </c>
      <c r="F15" s="15" t="inlineStr">
        <is>
          <t>Berlin (Europa-Team) / San Francisco (global)</t>
        </is>
      </c>
      <c r="G15" s="16" t="inlineStr">
        <is>
          <t>Pre-Seed, Seed, Series A, Series B, Growth (separate Early- und Growth-Fonds)</t>
        </is>
      </c>
      <c r="H15" s="16" t="inlineStr">
        <is>
          <t>ca. 500 Tsd. USD - 30 Mio. USD, Sweet Spot ca. 15 Mio. USD (Early-Stage-Tickets deutlich darunter)</t>
        </is>
      </c>
      <c r="I15" s="16" t="inlineStr">
        <is>
          <t>-</t>
        </is>
      </c>
      <c r="J15" s="16" t="inlineStr">
        <is>
          <t>Christian Miele</t>
        </is>
      </c>
      <c r="K15" s="16" t="inlineStr">
        <is>
          <t>General Partner Europe, Fokus Software &amp; Deep Tech, Berlin</t>
        </is>
      </c>
      <c r="L15" s="16" t="inlineStr">
        <is>
          <t>https://www.linkedin.com/in/christianmiele</t>
        </is>
      </c>
      <c r="M15" s="16" t="inlineStr">
        <is>
          <t>hello@headline.com; Pitch ueber das Formular "Tell us about your business" auf headline.com</t>
        </is>
      </c>
      <c r="N15" s="16" t="inlineStr">
        <is>
          <t>Ueber Christian Miele einsteigen mit der These, dass Headline-Portfoliofirmen wie Mistral und Black Forest Labs europaeische, DSGVO-konforme Human-in-the-loop-Labeling-Kapazitaet brauchen - und PathWize genau diese Luecke schliesst.</t>
        </is>
      </c>
      <c r="O15" s="16" t="inlineStr">
        <is>
          <t>Headline ist einer der wenigen deutschen VCs mit echten Foundation-Model-Investments (Mistral AI, Black Forest Labs) und deckt Pre-Seed bis Growth ab - die Portfolio-Naehe zu Modelltrainern macht PathWize unmittelbar anschlussfaehig.</t>
        </is>
      </c>
      <c r="P15" s="18" t="inlineStr">
        <is>
          <t>Offen</t>
        </is>
      </c>
      <c r="Q15" s="18" t="inlineStr"/>
      <c r="R15" s="19" t="inlineStr"/>
      <c r="S15" s="19" t="inlineStr"/>
      <c r="T15" s="18" t="inlineStr"/>
      <c r="U15" s="16" t="inlineStr"/>
      <c r="V15" s="16" t="inlineStr"/>
    </row>
    <row r="16">
      <c r="A16" s="12" t="n">
        <v>12</v>
      </c>
      <c r="B16" s="13" t="inlineStr">
        <is>
          <t>1</t>
        </is>
      </c>
      <c r="C16" s="14" t="inlineStr">
        <is>
          <t>Seed + Speed Ventures</t>
        </is>
      </c>
      <c r="D16" s="13" t="inlineStr">
        <is>
          <t>A</t>
        </is>
      </c>
      <c r="E16" s="13" t="n">
        <v>93</v>
      </c>
      <c r="F16" s="15" t="inlineStr">
        <is>
          <t>Berlin</t>
        </is>
      </c>
      <c r="G16" s="16" t="inlineStr">
        <is>
          <t>Pre-Seed und Seed</t>
        </is>
      </c>
      <c r="H16" s="16" t="inlineStr">
        <is>
          <t>EUR 500k bis 2,0 Mio. Erstticket, Follow-on bis EUR 5,0 Mio.</t>
        </is>
      </c>
      <c r="I16" s="16" t="inlineStr">
        <is>
          <t>-</t>
        </is>
      </c>
      <c r="J16" s="16" t="inlineStr">
        <is>
          <t>Alexander Koelpin</t>
        </is>
      </c>
      <c r="K16" s="16" t="inlineStr">
        <is>
          <t>Managing Partner / Managing Director (Co-Lead des Fonds neben Dr. Carsten Maschmeyer)</t>
        </is>
      </c>
      <c r="L16" s="16" t="inlineStr">
        <is>
          <t>https://www.linkedin.com/in/koelpin/</t>
        </is>
      </c>
      <c r="M16" s="16" t="inlineStr">
        <is>
          <t>Pitch-Deck-Formular unter https://www.seedandspeed.com/submit-pitch-deck</t>
        </is>
      </c>
      <c r="N16" s="16" t="inlineStr">
        <is>
          <t>Direkt auf die Fund-III-These aufsetzen: 'Ihr investiert in sicheren, compliance-konformen KI-Rollout - PathWize liefert die auditierbare, DSGVO-konforme Trainingsdaten-Schicht, ohne die genau dieser Rollout scheitert.'</t>
        </is>
      </c>
      <c r="O16" s="16" t="inlineStr">
        <is>
          <t>Frisch geschlossener EUR-90-Mio.-Fonds (Januar 2026) mit ausdruecklicher Enterprise-AI-These, Pre-Seed/Seed-Fokus, DACH-Schwerpunkt und Tickets von EUR 500k bis 2 Mio. Das trifft PathWize in Stage, Geografie und Sektor punktgenau.</t>
        </is>
      </c>
      <c r="P16" s="18" t="inlineStr">
        <is>
          <t>Offen</t>
        </is>
      </c>
      <c r="Q16" s="18" t="inlineStr"/>
      <c r="R16" s="19" t="inlineStr"/>
      <c r="S16" s="19" t="inlineStr"/>
      <c r="T16" s="18" t="inlineStr"/>
      <c r="U16" s="16" t="inlineStr"/>
      <c r="V16" s="16" t="inlineStr"/>
    </row>
    <row r="17">
      <c r="A17" s="12" t="n">
        <v>13</v>
      </c>
      <c r="B17" s="13" t="inlineStr">
        <is>
          <t>1</t>
        </is>
      </c>
      <c r="C17" s="14" t="inlineStr">
        <is>
          <t>Visionaries Club</t>
        </is>
      </c>
      <c r="D17" s="13" t="inlineStr">
        <is>
          <t>A</t>
        </is>
      </c>
      <c r="E17" s="13" t="n">
        <v>93</v>
      </c>
      <c r="F17" s="15" t="inlineStr">
        <is>
          <t>Berlin (zweites Buero London)</t>
        </is>
      </c>
      <c r="G17" s="16" t="inlineStr">
        <is>
          <t>Pre-Seed &amp; Seed, zusaetzlich Early-Growth-Fonds fuer Series A/B</t>
        </is>
      </c>
      <c r="H17" s="16" t="inlineStr">
        <is>
          <t>1 bis 5 Mio. EUR (typisch ca. 2,5 Mio. EUR im Seed)</t>
        </is>
      </c>
      <c r="I17" s="16" t="inlineStr">
        <is>
          <t>-</t>
        </is>
      </c>
      <c r="J17" s="16" t="inlineStr">
        <is>
          <t>Robert Lacher</t>
        </is>
      </c>
      <c r="K17" s="16" t="inlineStr">
        <is>
          <t>Founding Partner (fuehrt das Investmentteam gemeinsam mit Partner Venkat Kondragunta)</t>
        </is>
      </c>
      <c r="L17" s="16" t="inlineStr">
        <is>
          <t>https://de.linkedin.com/in/robert-lacher-ba58a759</t>
        </is>
      </c>
      <c r="M17" s="16" t="inlineStr">
        <is>
          <t>Kontaktformular auf https://visionaries.vc/; E-Mail-Schema vorname@visionariesclub.vc</t>
        </is>
      </c>
      <c r="N17" s="16" t="inlineStr">
        <is>
          <t>Ueber Black Forest Labs und n8n aufhaengen: PathWize liefert die annotierte Datenschicht, die genau diese Portfolio-Companies zum Trainieren und Evaluieren ihrer Modelle brauchen.</t>
        </is>
      </c>
      <c r="O17" s="16" t="inlineStr">
        <is>
          <t>Deutlichster Treffer der Batch: Berliner Seed-Lead mit expliziter B2B-plus-AI-These, 1-5-Mio.-Tickets und einem Portfolio, das von Black Forest Labs ueber n8n bis Lovable genau die Kundenkategorie von PathWize abbildet. Geo, Stage und These stimmen ohne Einschraenkung.</t>
        </is>
      </c>
      <c r="P17" s="18" t="inlineStr">
        <is>
          <t>Offen</t>
        </is>
      </c>
      <c r="Q17" s="18" t="inlineStr"/>
      <c r="R17" s="19" t="inlineStr"/>
      <c r="S17" s="19" t="inlineStr"/>
      <c r="T17" s="18" t="inlineStr"/>
      <c r="U17" s="16" t="inlineStr"/>
      <c r="V17" s="16" t="inlineStr"/>
    </row>
    <row r="18">
      <c r="A18" s="12" t="n">
        <v>14</v>
      </c>
      <c r="B18" s="13" t="inlineStr">
        <is>
          <t>1</t>
        </is>
      </c>
      <c r="C18" s="14" t="inlineStr">
        <is>
          <t>42CAP</t>
        </is>
      </c>
      <c r="D18" s="13" t="inlineStr">
        <is>
          <t>A</t>
        </is>
      </c>
      <c r="E18" s="13" t="n">
        <v>92</v>
      </c>
      <c r="F18" s="15" t="inlineStr">
        <is>
          <t>Muenchen</t>
        </is>
      </c>
      <c r="G18" s="16" t="inlineStr">
        <is>
          <t>Seed (fuehrt an), teils Pre-Seed und Series A Follow-on</t>
        </is>
      </c>
      <c r="H18" s="16" t="inlineStr">
        <is>
          <t>0,5-3 Mio. EUR Erstinvestment</t>
        </is>
      </c>
      <c r="I18" s="16" t="inlineStr">
        <is>
          <t>Data-Infra-nah</t>
        </is>
      </c>
      <c r="J18" s="16" t="inlineStr">
        <is>
          <t>Alex Meyer</t>
        </is>
      </c>
      <c r="K18" s="16" t="inlineStr">
        <is>
          <t>Founding Partner (Mitgruender eCircle, verkauft an Teradata); gleichrangig Thomas Wilke, Founding Partner</t>
        </is>
      </c>
      <c r="L18" s="16" t="inlineStr">
        <is>
          <t>n/a</t>
        </is>
      </c>
      <c r="M18" s="16" t="inlineStr">
        <is>
          <t>Kontakt ueber 42cap.com; keine oeffentliche Pitch-E-Mail belegt</t>
        </is>
      </c>
      <c r="N18" s="16" t="inlineStr">
        <is>
          <t>Als deutsches Data-Infrastruktur-Team im Fahrwasser von Qdrant ansprechen: PathWize liefert den menschlichen Datenlayer, den Vector-DB- und Memory-Investments von 42CAP voraussetzen.</t>
        </is>
      </c>
      <c r="O18" s="16" t="inlineStr">
        <is>
          <t>Muenchner Seed-Lead mit expliziter These auf daten- und technologiegetriebene B2B-Software und belegter Data-Infra-Kompetenz (Qdrant, Cognee) - geografisch und thematisch nahezu ideal fuer ein deutsches Data-Labeling-Startup.</t>
        </is>
      </c>
      <c r="P18" s="18" t="inlineStr">
        <is>
          <t>Offen</t>
        </is>
      </c>
      <c r="Q18" s="18" t="inlineStr"/>
      <c r="R18" s="19" t="inlineStr"/>
      <c r="S18" s="19" t="inlineStr"/>
      <c r="T18" s="18" t="inlineStr"/>
      <c r="U18" s="16" t="inlineStr"/>
      <c r="V18" s="16" t="inlineStr"/>
    </row>
    <row r="19">
      <c r="A19" s="12" t="n">
        <v>15</v>
      </c>
      <c r="B19" s="13" t="inlineStr">
        <is>
          <t>1</t>
        </is>
      </c>
      <c r="C19" s="14" t="inlineStr">
        <is>
          <t>b2venture (ehem. btov Partners)</t>
        </is>
      </c>
      <c r="D19" s="13" t="inlineStr">
        <is>
          <t>A</t>
        </is>
      </c>
      <c r="E19" s="13" t="n">
        <v>92</v>
      </c>
      <c r="F19" s="15" t="inlineStr">
        <is>
          <t>Berlin / Muenchen / St. Gallen / Luxemburg</t>
        </is>
      </c>
      <c r="G19" s="16" t="inlineStr">
        <is>
          <t>Pre-Seed, Seed, Series A (plus Follow-ons in spaeteren Runden)</t>
        </is>
      </c>
      <c r="H19" s="16" t="inlineStr">
        <is>
          <t>250 Tsd. - 5 Mio. EUR, Durchschnitt ca. 1 Mio. EUR</t>
        </is>
      </c>
      <c r="I19" s="16" t="inlineStr">
        <is>
          <t>Data-Infra-nah</t>
        </is>
      </c>
      <c r="J19" s="16" t="inlineStr">
        <is>
          <t>Andreas Goeldi</t>
        </is>
      </c>
      <c r="K19" s="16" t="inlineStr">
        <is>
          <t>Partner (Digital/Software-Fokus, Autor der b2venture Generative-AI-Investorenperspektive)</t>
        </is>
      </c>
      <c r="L19" s="16" t="inlineStr">
        <is>
          <t>n/a</t>
        </is>
      </c>
      <c r="M19" s="16" t="inlineStr">
        <is>
          <t>Kontaktformular unter https://b2venture.vc/contact; Berlin: Neue Schoenhauser Str. 8, 10178 Berlin, +49 30 346 55 84 00</t>
        </is>
      </c>
      <c r="N19" s="16" t="inlineStr">
        <is>
          <t>Ueber den neptune.ai-Exit einsteigen: PathWize baut die Datenschicht, die das ML-Ops-Layer erst nutzbar macht - der logische naechste Baustein im selben Stack.</t>
        </is>
      </c>
      <c r="O19" s="16" t="inlineStr">
        <is>
          <t>Exakter Stage-Match (Pre-Seed bis Series A, 250 Tsd.-5 Mio. EUR) plus frischer 150-Mio.-EUR-Fonds und mit neptune.ai eine belegte, erfolgreich exitete ML-Infrastruktur-Beteiligung - b2venture versteht Trainingsdaten-Wertschoepfung aus eigener Erfahrung.</t>
        </is>
      </c>
      <c r="P19" s="18" t="inlineStr">
        <is>
          <t>Offen</t>
        </is>
      </c>
      <c r="Q19" s="18" t="inlineStr"/>
      <c r="R19" s="19" t="inlineStr"/>
      <c r="S19" s="19" t="inlineStr"/>
      <c r="T19" s="18" t="inlineStr"/>
      <c r="U19" s="16" t="inlineStr"/>
      <c r="V19" s="16" t="inlineStr"/>
    </row>
    <row r="20">
      <c r="A20" s="12" t="n">
        <v>16</v>
      </c>
      <c r="B20" s="13" t="inlineStr">
        <is>
          <t>1</t>
        </is>
      </c>
      <c r="C20" s="14" t="inlineStr">
        <is>
          <t>Lunar Ventures</t>
        </is>
      </c>
      <c r="D20" s="13" t="inlineStr">
        <is>
          <t>A</t>
        </is>
      </c>
      <c r="E20" s="13" t="n">
        <v>92</v>
      </c>
      <c r="F20" s="15" t="inlineStr">
        <is>
          <t>Berlin</t>
        </is>
      </c>
      <c r="G20" s="16" t="inlineStr">
        <is>
          <t>Day Zero / Pre-Seed ausschliesslich, mit 40-60% Reserve fuer Follow-ons</t>
        </is>
      </c>
      <c r="H20" s="16" t="inlineStr">
        <is>
          <t>750 Tsd. - 1 Mio. EUR, geplant 25-30 Investments aus Fund II</t>
        </is>
      </c>
      <c r="I20" s="16" t="inlineStr">
        <is>
          <t>Data-Infra-nah</t>
        </is>
      </c>
      <c r="J20" s="16" t="inlineStr">
        <is>
          <t>Dr. Elad Verbin</t>
        </is>
      </c>
      <c r="K20" s="16" t="inlineStr">
        <is>
          <t>Partner und technischer Lead / CTO-artige Rolle; Mick Halsband und Luis Shemtov als weitere Gruendungspartner</t>
        </is>
      </c>
      <c r="L20" s="16" t="inlineStr">
        <is>
          <t>n/a</t>
        </is>
      </c>
      <c r="M20" s="16" t="inlineStr">
        <is>
          <t>Kein oeffentliches Pitch-Formular oder E-Mail auf lunar.vc gefunden</t>
        </is>
      </c>
      <c r="N20" s="16" t="inlineStr">
        <is>
          <t>Direkt an Elad Verbin mit der Fund-II-These spiegeln: PathWize ist die Company, die seltene, hochwertige Trainingsdaten im industriellen Massstab produziert.</t>
        </is>
      </c>
      <c r="O20" s="16" t="inlineStr">
        <is>
          <t>Fund II nennt als eine von drei Kernthesen ausdruecklich Companies, die seltene, hochwertige Daten im grossen Massstab sammeln - das ist eine woertliche Beschreibung von PathWize, dazu Berliner Standort und frisches Kapital.</t>
        </is>
      </c>
      <c r="P20" s="18" t="inlineStr">
        <is>
          <t>Offen</t>
        </is>
      </c>
      <c r="Q20" s="18" t="inlineStr"/>
      <c r="R20" s="19" t="inlineStr"/>
      <c r="S20" s="19" t="inlineStr"/>
      <c r="T20" s="18" t="inlineStr"/>
      <c r="U20" s="16" t="inlineStr"/>
      <c r="V20" s="16" t="inlineStr"/>
    </row>
    <row r="21">
      <c r="A21" s="12" t="n">
        <v>17</v>
      </c>
      <c r="B21" s="13" t="inlineStr">
        <is>
          <t>1</t>
        </is>
      </c>
      <c r="C21" s="14" t="inlineStr">
        <is>
          <t>MMC Ventures</t>
        </is>
      </c>
      <c r="D21" s="13" t="inlineStr">
        <is>
          <t>A</t>
        </is>
      </c>
      <c r="E21" s="13" t="n">
        <v>91</v>
      </c>
      <c r="F21" s="15" t="inlineStr">
        <is>
          <t>London</t>
        </is>
      </c>
      <c r="G21" s="16" t="inlineStr">
        <is>
          <t>Seed und Series A</t>
        </is>
      </c>
      <c r="H21" s="16" t="inlineStr">
        <is>
          <t>bis 10 Mio. GBP Erstinvestment, plus Follow-ons</t>
        </is>
      </c>
      <c r="I21" s="16" t="inlineStr">
        <is>
          <t>Data-Infra-nah</t>
        </is>
      </c>
      <c r="J21" s="16" t="inlineStr">
        <is>
          <t>Simon Menashy</t>
        </is>
      </c>
      <c r="K21" s="16" t="inlineStr">
        <is>
          <t>Partner (Enterprise AI / B2B Software); weitere: Mina Samaan (Partner), Advika Jalan, Jamie Shelton, Prakriti Roy</t>
        </is>
      </c>
      <c r="L21" s="16" t="inlineStr">
        <is>
          <t>n/a</t>
        </is>
      </c>
      <c r="M21" s="16" t="inlineStr">
        <is>
          <t>mmc.vc/contact-us (Pitch-Formular), Tel. +44 (0) 207 938 2220, 24 High Holborn, London WC1V 6AZ</t>
        </is>
      </c>
      <c r="N21" s="16" t="inlineStr">
        <is>
          <t>Ueber das Kontaktformular mit Bezug auf MMCs eigene State-of-AI-Research pitchen: PathWize liefert die Datenqualitaets-Schicht, die MMC in seinen Enterprise-AI-Reports als Adoptions-Engpass beschreibt.</t>
        </is>
      </c>
      <c r="O21" s="16" t="inlineStr">
        <is>
          <t>MMC definiert sich woertlich als Investor in 'early-stage AI and data companies across Europe' mit Cloud &amp; Data Infrastructure als eigenem Sektorfeld und belegt das mit Snowplow und Ably - thesenseitig einer der praezisesten Treffer der Batch.</t>
        </is>
      </c>
      <c r="P21" s="18" t="inlineStr">
        <is>
          <t>Offen</t>
        </is>
      </c>
      <c r="Q21" s="18" t="inlineStr"/>
      <c r="R21" s="19" t="inlineStr"/>
      <c r="S21" s="19" t="inlineStr"/>
      <c r="T21" s="18" t="inlineStr"/>
      <c r="U21" s="16" t="inlineStr"/>
      <c r="V21" s="16" t="inlineStr"/>
    </row>
    <row r="22">
      <c r="A22" s="12" t="n">
        <v>18</v>
      </c>
      <c r="B22" s="13" t="inlineStr">
        <is>
          <t>1</t>
        </is>
      </c>
      <c r="C22" s="14" t="inlineStr">
        <is>
          <t>Speedinvest (AI &amp; Infra Team)</t>
        </is>
      </c>
      <c r="D22" s="13" t="inlineStr">
        <is>
          <t>A</t>
        </is>
      </c>
      <c r="E22" s="13" t="n">
        <v>91</v>
      </c>
      <c r="F22" s="15" t="inlineStr">
        <is>
          <t>Wien (zusaetzlich Berlin, Muenchen, London, Paris)</t>
        </is>
      </c>
      <c r="G22" s="16" t="inlineStr">
        <is>
          <t>Pre-Seed und Seed; Speedinvest Growth als separates Vehikel fuer Folgerunden</t>
        </is>
      </c>
      <c r="H22" s="16" t="inlineStr">
        <is>
          <t>n/a - typische Erstickets im niedrigen einstelligen Mio.-EUR-Bereich</t>
        </is>
      </c>
      <c r="I22" s="16" t="inlineStr">
        <is>
          <t>-</t>
        </is>
      </c>
      <c r="J22" s="16" t="inlineStr">
        <is>
          <t>Markus Lang</t>
        </is>
      </c>
      <c r="K22" s="16" t="inlineStr">
        <is>
          <t>General Partner, AI &amp; Infra Team (zuvor verantwortlich fuer Pre-Seed-Aktivitaeten); Partner Frederik Hagenauer und Florian Obst im selben Team</t>
        </is>
      </c>
      <c r="L22" s="16" t="inlineStr">
        <is>
          <t>n/a (Profilseite: https://www.speedinvest.com/team-members/markus-lang)</t>
        </is>
      </c>
      <c r="M22" s="16" t="inlineStr">
        <is>
          <t>Pitch-/Kontaktformular auf speedinvest.com</t>
        </is>
      </c>
      <c r="N22" s="16" t="inlineStr">
        <is>
          <t>Direkt beim AI-&amp;-Infra-Team ansetzen und PathWize als den Daten-Baustein ihrer eigenen 'models, data, orchestration'-These positionieren, mit DACH-Enterprise-Kunden als Beleg.</t>
        </is>
      </c>
      <c r="O22" s="16" t="inlineStr">
        <is>
          <t>Groesster DACH-Fruehphasenfonds mit einem dedizierten AI-&amp;-Infra-Team, dessen These 'Daten' ausdruecklich als Investitionsfeld nennt, und mit Pre-Seed/Seed-Lead-Mandat direkt im Zielsegment von PathWize.</t>
        </is>
      </c>
      <c r="P22" s="18" t="inlineStr">
        <is>
          <t>Offen</t>
        </is>
      </c>
      <c r="Q22" s="18" t="inlineStr"/>
      <c r="R22" s="19" t="inlineStr"/>
      <c r="S22" s="19" t="inlineStr"/>
      <c r="T22" s="18" t="inlineStr"/>
      <c r="U22" s="16" t="inlineStr"/>
      <c r="V22" s="16" t="inlineStr"/>
    </row>
    <row r="23">
      <c r="A23" s="12" t="n">
        <v>19</v>
      </c>
      <c r="B23" s="13" t="inlineStr">
        <is>
          <t>1</t>
        </is>
      </c>
      <c r="C23" s="14" t="inlineStr">
        <is>
          <t>High-Tech Gruenderfonds (HTGF)</t>
        </is>
      </c>
      <c r="D23" s="13" t="inlineStr">
        <is>
          <t>A</t>
        </is>
      </c>
      <c r="E23" s="13" t="n">
        <v>90</v>
      </c>
      <c r="F23" s="15" t="inlineStr">
        <is>
          <t>Bonn (weitere Bueros Berlin, Muenchen)</t>
        </is>
      </c>
      <c r="G23" s="16" t="inlineStr">
        <is>
          <t>Pre-Seed und Seed, mit substanziellen Folgeinvestments in spaeteren Runden</t>
        </is>
      </c>
      <c r="H23" s="16" t="inlineStr">
        <is>
          <t>Erstticket ca. 0,8 - 1 Mio. EUR, in Summe bis zu mehreren Mio. EUR ueber Folgerunden</t>
        </is>
      </c>
      <c r="I23" s="17" t="inlineStr">
        <is>
          <t>DIREKT: Sky Engine – Wettbewerbskonflikt pruefen</t>
        </is>
      </c>
      <c r="J23" s="16" t="inlineStr">
        <is>
          <t>Dr. Tanja Emmerling</t>
        </is>
      </c>
      <c r="K23" s="16" t="inlineStr">
        <is>
          <t>Partner, Head of Digital Tech (Team Digital Tech mit Markus Kressmann, Frank Kerim Reinecke, Dr. Ulrich Schmitt, Axel Nitsch)</t>
        </is>
      </c>
      <c r="L23" s="16" t="inlineStr">
        <is>
          <t>n/a</t>
        </is>
      </c>
      <c r="M23" s="16" t="inlineStr">
        <is>
          <t>info@htgf.de; Pitch-Deck-Upload unter https://www.htgf.de/en/pitch-deck-upload/</t>
        </is>
      </c>
      <c r="N23" s="16" t="inlineStr">
        <is>
          <t>Pitch-Deck an info@htgf.de mit direkter Referenz auf das SKY-ENGINE-AI-Investment: PathWize liefert die Human-in-the-loop-Ebene, die synthetische Daten allein nicht abdecken.</t>
        </is>
      </c>
      <c r="O23" s="16" t="inlineStr">
        <is>
          <t>HTGF ist der aktivste deutsche Pre-Seed-/Seed-Investor mit ueber 2 Mrd. EUR Fondsvolumen, adressiert AI/ML-Teams im Segment Digital Tech ausdruecklich und hat mit SKY ENGINE AI ein direktes Trainingsdaten-Investment.</t>
        </is>
      </c>
      <c r="P23" s="18" t="inlineStr">
        <is>
          <t>Offen</t>
        </is>
      </c>
      <c r="Q23" s="18" t="inlineStr"/>
      <c r="R23" s="19" t="inlineStr"/>
      <c r="S23" s="19" t="inlineStr"/>
      <c r="T23" s="18" t="inlineStr"/>
      <c r="U23" s="16" t="inlineStr"/>
      <c r="V23" s="16" t="inlineStr"/>
    </row>
    <row r="24">
      <c r="A24" s="12" t="n">
        <v>20</v>
      </c>
      <c r="B24" s="13" t="inlineStr">
        <is>
          <t>1</t>
        </is>
      </c>
      <c r="C24" s="14" t="inlineStr">
        <is>
          <t>Partech</t>
        </is>
      </c>
      <c r="D24" s="13" t="inlineStr">
        <is>
          <t>A</t>
        </is>
      </c>
      <c r="E24" s="13" t="n">
        <v>90</v>
      </c>
      <c r="F24" s="15" t="inlineStr">
        <is>
          <t>Paris (zusaetzlich Berlin, London, San Francisco, Dakar)</t>
        </is>
      </c>
      <c r="G24" s="16" t="inlineStr">
        <is>
          <t>Partech Seed (ab Tag 1), Partech Venture (Series A/B), Partech Growth, Partech Africa, Partech Impact</t>
        </is>
      </c>
      <c r="H24" s="16" t="inlineStr">
        <is>
          <t>Seed 0,3-3 Mio. EUR; Venture 5-12 Mio. EUR; Growth 25-70 Mio. EUR</t>
        </is>
      </c>
      <c r="I24" s="17" t="inlineStr">
        <is>
          <t>DIREKT: Prolific, V7 – Wettbewerbskonflikt pruefen</t>
        </is>
      </c>
      <c r="J24" s="16" t="inlineStr">
        <is>
          <t>Omri Benayoun</t>
        </is>
      </c>
      <c r="K24" s="16" t="inlineStr">
        <is>
          <t>General Partner, verantwortet die Growth-Strategie (nicht Seed) - fuehrte das Prolific-Investment. Fuer Pre-Seed/Seed ist das Partech-Seed-Team der richtige Einstieg.</t>
        </is>
      </c>
      <c r="L24" s="16" t="inlineStr">
        <is>
          <t>n/a</t>
        </is>
      </c>
      <c r="M24" s="16" t="inlineStr">
        <is>
          <t>Kontaktformular auf partechpartners.com</t>
        </is>
      </c>
      <c r="N24" s="16" t="inlineStr">
        <is>
          <t>Beim Partech-Seed-Team einsteigen und die eigene Prolific-/V7-Erfahrung des Hauses als Beleg nutzen, dass Human-in-the-loop-Trainingsdaten eine eigene Kategorie sind - mit PathWize als DACH-Enterprise-Variante.</t>
        </is>
      </c>
      <c r="O24" s="16" t="inlineStr">
        <is>
          <t>Partech hat mit V7 Labs und Prolific gleich zwei Trainingsdaten-/Human-Data-Companies finanziert und bietet mit dem Seed-Fonds (0,3-3 Mio. EUR ab Tag 1) plus Berliner Buero einen durchgaengigen Kapitalpfad bis Series A und darueber hinaus.</t>
        </is>
      </c>
      <c r="P24" s="18" t="inlineStr">
        <is>
          <t>Offen</t>
        </is>
      </c>
      <c r="Q24" s="18" t="inlineStr"/>
      <c r="R24" s="19" t="inlineStr"/>
      <c r="S24" s="19" t="inlineStr"/>
      <c r="T24" s="18" t="inlineStr"/>
      <c r="U24" s="16" t="inlineStr"/>
      <c r="V24" s="16" t="inlineStr"/>
    </row>
    <row r="25">
      <c r="A25" s="12" t="n">
        <v>21</v>
      </c>
      <c r="B25" s="13" t="inlineStr">
        <is>
          <t>1</t>
        </is>
      </c>
      <c r="C25" s="14" t="inlineStr">
        <is>
          <t>TS Ventures</t>
        </is>
      </c>
      <c r="D25" s="13" t="inlineStr">
        <is>
          <t>A</t>
        </is>
      </c>
      <c r="E25" s="13" t="n">
        <v>90</v>
      </c>
      <c r="F25" s="15" t="inlineStr">
        <is>
          <t>Bergisch Gladbach / Köln</t>
        </is>
      </c>
      <c r="G25" s="16" t="inlineStr">
        <is>
          <t>Pre-Seed und Seed</t>
        </is>
      </c>
      <c r="H25" s="16" t="inlineStr">
        <is>
          <t>100.000 – 500.000 EUR Initial-Ticket</t>
        </is>
      </c>
      <c r="I25" s="16" t="inlineStr">
        <is>
          <t>-</t>
        </is>
      </c>
      <c r="J25" s="16" t="inlineStr">
        <is>
          <t>Tim Schumacher</t>
        </is>
      </c>
      <c r="K25" s="16" t="inlineStr">
        <is>
          <t>Partner &amp; Co-Founder (zuvor Co-Founder Sedo.com, Chairman Ecosia); weiterer Partner: Stephan Jacquemot; Adrian Sinner-Dorsch (Investment Manager)</t>
        </is>
      </c>
      <c r="L25" s="16" t="inlineStr">
        <is>
          <t>n/a</t>
        </is>
      </c>
      <c r="M25" s="16" t="inlineStr">
        <is>
          <t>Pitch-Formular (Google Form) verlinkt auf tsventures.io; LinkedIn: https://www.linkedin.com/company/tsventures</t>
        </is>
      </c>
      <c r="N25" s="16" t="inlineStr">
        <is>
          <t>Direkt über das Pitch-Formular mit der Botschaft: 'Wir sind technische Gründer und bauen die B2B-Dateninfrastruktur-Schicht (Human-in-the-loop Trainingsdaten), auf der eure AI-Portfolio-Companies aufsetzen.'</t>
        </is>
      </c>
      <c r="O25" s="16" t="inlineStr">
        <is>
          <t>Wortwörtliche These-Übereinstimmung: TS Ventures investiert explizit in technische Gründer im Bereich AI, DevTools und B2B-Infrastruktur in Pre-Seed/Seed in Deutschland. Portfolio (Peec AI, Jamie, Impossible Cloud) belegt echten AI-/Infra-Track-Record.</t>
        </is>
      </c>
      <c r="P25" s="18" t="inlineStr">
        <is>
          <t>Offen</t>
        </is>
      </c>
      <c r="Q25" s="18" t="inlineStr"/>
      <c r="R25" s="19" t="inlineStr"/>
      <c r="S25" s="19" t="inlineStr"/>
      <c r="T25" s="18" t="inlineStr"/>
      <c r="U25" s="16" t="inlineStr"/>
      <c r="V25" s="16" t="inlineStr"/>
    </row>
    <row r="26">
      <c r="A26" s="12" t="n">
        <v>22</v>
      </c>
      <c r="B26" s="13" t="inlineStr">
        <is>
          <t>1</t>
        </is>
      </c>
      <c r="C26" s="14" t="inlineStr">
        <is>
          <t>Zetta Venture Partners</t>
        </is>
      </c>
      <c r="D26" s="13" t="inlineStr">
        <is>
          <t>A</t>
        </is>
      </c>
      <c r="E26" s="13" t="n">
        <v>90</v>
      </c>
      <c r="F26" s="15" t="inlineStr">
        <is>
          <t>San Francisco (zusaetzlich New York)</t>
        </is>
      </c>
      <c r="G26" s="16" t="inlineStr">
        <is>
          <t>Pre-Seed / Seed als Kern, Folgeinvestments bis Series B; ausschliesslich AI-first B2B</t>
        </is>
      </c>
      <c r="H26" s="16" t="inlineStr">
        <is>
          <t>1-5 Mio. USD</t>
        </is>
      </c>
      <c r="I26" s="16" t="inlineStr">
        <is>
          <t>Data-Infra-nah</t>
        </is>
      </c>
      <c r="J26" s="16" t="inlineStr">
        <is>
          <t>Apoorva Pandhi</t>
        </is>
      </c>
      <c r="K26" s="16" t="inlineStr">
        <is>
          <t>Managing Partner (Fokus AI-native Infrastruktur und Anwendungen); daneben Jocelyn Goldfein (Managing Director) und Gruender Mark Gorenberg</t>
        </is>
      </c>
      <c r="L26" s="16" t="inlineStr">
        <is>
          <t>n/a</t>
        </is>
      </c>
      <c r="M26" s="16" t="inlineStr">
        <is>
          <t>Kein oeffentliches Pitch-Formular auf zettavp.com gefunden; Buero 168 South Park, San Francisco</t>
        </is>
      </c>
      <c r="N26" s="16" t="inlineStr">
        <is>
          <t>Als AI-first Data-Company mit europaeischem Enterprise- und Compliance-Zugang pitchen, die den Trainingsdaten-Moat liefert, den Zettas These zum Kern erklaert.</t>
        </is>
      </c>
      <c r="O26" s="16" t="inlineStr">
        <is>
          <t>Der erste Fonds ueberhaupt mit reiner AI-first-These und expliziter Dateninfrastruktur-Allokation; fuehrt Seed-Runden an und hat mit Weaviate, Domino und Lilt exakt das benachbarte Portfolio.</t>
        </is>
      </c>
      <c r="P26" s="18" t="inlineStr">
        <is>
          <t>Offen</t>
        </is>
      </c>
      <c r="Q26" s="18" t="inlineStr"/>
      <c r="R26" s="19" t="inlineStr"/>
      <c r="S26" s="19" t="inlineStr"/>
      <c r="T26" s="18" t="inlineStr"/>
      <c r="U26" s="16" t="inlineStr"/>
      <c r="V26" s="16" t="inlineStr"/>
    </row>
    <row r="27">
      <c r="A27" s="12" t="n">
        <v>23</v>
      </c>
      <c r="B27" s="13" t="inlineStr">
        <is>
          <t>1</t>
        </is>
      </c>
      <c r="C27" s="14" t="inlineStr">
        <is>
          <t>Atlantic Labs</t>
        </is>
      </c>
      <c r="D27" s="13" t="inlineStr">
        <is>
          <t>A</t>
        </is>
      </c>
      <c r="E27" s="13" t="n">
        <v>89</v>
      </c>
      <c r="F27" s="15" t="inlineStr">
        <is>
          <t>Berlin (Rosenthaler Str. 13, 10119)</t>
        </is>
      </c>
      <c r="G27" s="16" t="inlineStr">
        <is>
          <t>Pre-Seed (Schwerpunkt), Seed, selektiv Series A</t>
        </is>
      </c>
      <c r="H27" s="16" t="inlineStr">
        <is>
          <t>ca. 25.000 EUR bis 5 Mio. EUR+ (Erstticket typischerweise Pre-Seed-Groesse)</t>
        </is>
      </c>
      <c r="I27" s="16" t="inlineStr">
        <is>
          <t>-</t>
        </is>
      </c>
      <c r="J27" s="16" t="inlineStr">
        <is>
          <t>Christophe Maire</t>
        </is>
      </c>
      <c r="K27" s="16" t="inlineStr">
        <is>
          <t>Founder &amp; Managing Partner (Team von 19 Personen, davon 4 Partner)</t>
        </is>
      </c>
      <c r="L27" s="16" t="inlineStr">
        <is>
          <t>n/a</t>
        </is>
      </c>
      <c r="M27" s="16" t="inlineStr">
        <is>
          <t>Ueber Website https://atlantic.vc/ bzw. LinkedIn https://www.linkedin.com/company/atlantic-labs; Standort Rosenthaler Str. 13, 10119 Berlin</t>
        </is>
      </c>
      <c r="N27" s="16" t="inlineStr">
        <is>
          <t>Direkt auf die 'AI &amp; Compute'-These zielen: PathWize ist das Datenfundament dieser Vertikale und sucht einen Pre-Seed-Lead, der wie Atlantic schnell und mit Konviktion entscheidet.</t>
        </is>
      </c>
      <c r="O27" s="16" t="inlineStr">
        <is>
          <t>Einer der wenigen deutschen Fonds, die Pre-Seed aktiv anfuehren, mit 'AI &amp; Compute' als offiziell ausgewiesener Kernvertikale und frischem ca. 80-Mio.-EUR-Fonds. Stage, These, Geo und Ticketgroesse passen fuer PathWize praktisch ideal.</t>
        </is>
      </c>
      <c r="P27" s="18" t="inlineStr">
        <is>
          <t>Offen</t>
        </is>
      </c>
      <c r="Q27" s="18" t="inlineStr"/>
      <c r="R27" s="19" t="inlineStr"/>
      <c r="S27" s="19" t="inlineStr"/>
      <c r="T27" s="18" t="inlineStr"/>
      <c r="U27" s="16" t="inlineStr"/>
      <c r="V27" s="16" t="inlineStr"/>
    </row>
    <row r="28">
      <c r="A28" s="12" t="n">
        <v>24</v>
      </c>
      <c r="B28" s="13" t="inlineStr">
        <is>
          <t>1</t>
        </is>
      </c>
      <c r="C28" s="14" t="inlineStr">
        <is>
          <t>Capnamic Ventures</t>
        </is>
      </c>
      <c r="D28" s="13" t="inlineStr">
        <is>
          <t>A</t>
        </is>
      </c>
      <c r="E28" s="13" t="n">
        <v>89</v>
      </c>
      <c r="F28" s="15" t="inlineStr">
        <is>
          <t>Koeln (zusaetzlich Berlin und Bremen)</t>
        </is>
      </c>
      <c r="G28" s="16" t="inlineStr">
        <is>
          <t>Pre-Seed, Seed, Series A inkl. Follow-ons</t>
        </is>
      </c>
      <c r="H28" s="16" t="inlineStr">
        <is>
          <t>typischerweise ca. 0,5 - 5 Mio. EUR Erstinvestment (Follow-ons reserviert)</t>
        </is>
      </c>
      <c r="I28" s="16" t="inlineStr">
        <is>
          <t>-</t>
        </is>
      </c>
      <c r="J28" s="16" t="inlineStr">
        <is>
          <t>Joerg Binnenbruecker</t>
        </is>
      </c>
      <c r="K28" s="16" t="inlineStr">
        <is>
          <t>Founding / Managing Partner</t>
        </is>
      </c>
      <c r="L28" s="16" t="inlineStr">
        <is>
          <t>https://de.linkedin.com/in/joerg1</t>
        </is>
      </c>
      <c r="M28" s="16" t="inlineStr">
        <is>
          <t>Connect-Formular auf capnamic.com/connect</t>
        </is>
      </c>
      <c r="N28" s="16" t="inlineStr">
        <is>
          <t>Ueber die QuantPi-Analogie einsteigen: PathWize liefert die Trainingsdatenqualitaet, ohne die AI-Governance und Modellvalidierung im europaeischen B2B-Markt nicht funktionieren.</t>
        </is>
      </c>
      <c r="O28" s="16" t="inlineStr">
        <is>
          <t>Einer der aktivsten DACH-Fruehphasenleads fuer technisches B2B mit belegten AI-Investments wie QuantPi und passendem Ticket fuer Pre-Seed bis Series A.</t>
        </is>
      </c>
      <c r="P28" s="18" t="inlineStr">
        <is>
          <t>Offen</t>
        </is>
      </c>
      <c r="Q28" s="18" t="inlineStr"/>
      <c r="R28" s="19" t="inlineStr"/>
      <c r="S28" s="19" t="inlineStr"/>
      <c r="T28" s="18" t="inlineStr"/>
      <c r="U28" s="16" t="inlineStr"/>
      <c r="V28" s="16" t="inlineStr"/>
    </row>
    <row r="29">
      <c r="A29" s="12" t="n">
        <v>25</v>
      </c>
      <c r="B29" s="13" t="inlineStr">
        <is>
          <t>1</t>
        </is>
      </c>
      <c r="C29" s="14" t="inlineStr">
        <is>
          <t>Cherry Ventures</t>
        </is>
      </c>
      <c r="D29" s="13" t="inlineStr">
        <is>
          <t>A</t>
        </is>
      </c>
      <c r="E29" s="13" t="n">
        <v>89</v>
      </c>
      <c r="F29" s="15" t="inlineStr">
        <is>
          <t>Berlin (weitere Bueros London, Stockholm)</t>
        </is>
      </c>
      <c r="G29" s="16" t="inlineStr">
        <is>
          <t>Pre-Seed &amp; Seed (Schwerpunkt), Folgeinvestments bis Series A</t>
        </is>
      </c>
      <c r="H29" s="16" t="inlineStr">
        <is>
          <t>2 bis 7 Mio. EUR</t>
        </is>
      </c>
      <c r="I29" s="16" t="inlineStr">
        <is>
          <t>-</t>
        </is>
      </c>
      <c r="J29" s="16" t="inlineStr">
        <is>
          <t>Lutz Finger</t>
        </is>
      </c>
      <c r="K29" s="16" t="inlineStr">
        <is>
          <t>Venture Partner mit Data-/AI-Hintergrund (ex-LinkedIn, ex-Snap); fuer Data-Infra-Deals der naechstliegende Einstiegspunkt neben dem Berliner Investmentteam</t>
        </is>
      </c>
      <c r="L29" s="16" t="inlineStr">
        <is>
          <t>https://www.linkedin.com/in/lutzfinger</t>
        </is>
      </c>
      <c r="M29" s="16" t="inlineStr">
        <is>
          <t>Kontakt-/Pitchformular auf https://www.cherry.vc/</t>
        </is>
      </c>
      <c r="N29" s="16" t="inlineStr">
        <is>
          <t>Als Infrastruktur-Play im Stil von Dash0 positionieren - kein Dienstleister, sondern die produktisierte Datenschicht unter europaeischen AI-Systemen - und ueber Lutz Finger als Data-/AI-Sparringspartner andocken.</t>
        </is>
      </c>
      <c r="O29" s="16" t="inlineStr">
        <is>
          <t>Sehr aktiver Berliner Seed-Lead mit rund 900 Mio. USD AUM, 2-7-Mio.-Tickets und einer klar erkennbaren AI-native-Ausrichtung der juengsten Investments; Dash0 zeigt, dass Cherry Infrastruktur-Layer fuer AI bis in spaetere Runden begleitet. Geo und Stage sind ein perfekter Match.</t>
        </is>
      </c>
      <c r="P29" s="18" t="inlineStr">
        <is>
          <t>Offen</t>
        </is>
      </c>
      <c r="Q29" s="18" t="inlineStr"/>
      <c r="R29" s="19" t="inlineStr"/>
      <c r="S29" s="19" t="inlineStr"/>
      <c r="T29" s="18" t="inlineStr"/>
      <c r="U29" s="16" t="inlineStr"/>
      <c r="V29" s="16" t="inlineStr"/>
    </row>
    <row r="30">
      <c r="A30" s="12" t="n">
        <v>26</v>
      </c>
      <c r="B30" s="20" t="inlineStr">
        <is>
          <t>2</t>
        </is>
      </c>
      <c r="C30" s="14" t="inlineStr">
        <is>
          <t>Connect Ventures</t>
        </is>
      </c>
      <c r="D30" s="13" t="inlineStr">
        <is>
          <t>A</t>
        </is>
      </c>
      <c r="E30" s="13" t="n">
        <v>89</v>
      </c>
      <c r="F30" s="15" t="inlineStr">
        <is>
          <t>London</t>
        </is>
      </c>
      <c r="G30" s="16" t="inlineStr">
        <is>
          <t>Pre-Seed, Seed</t>
        </is>
      </c>
      <c r="H30" s="16" t="inlineStr">
        <is>
          <t>ca. 0,5 - 5 Mio. USD</t>
        </is>
      </c>
      <c r="I30" s="16" t="inlineStr">
        <is>
          <t>-</t>
        </is>
      </c>
      <c r="J30" s="16" t="inlineStr">
        <is>
          <t>Pietro Bezza</t>
        </is>
      </c>
      <c r="K30" s="16" t="inlineStr">
        <is>
          <t>Managing Partner</t>
        </is>
      </c>
      <c r="L30" s="16" t="inlineStr">
        <is>
          <t>n/a</t>
        </is>
      </c>
      <c r="M30" s="16" t="inlineStr">
        <is>
          <t>Kontakt-/Pitchformular auf connectventures.co</t>
        </is>
      </c>
      <c r="N30" s="16" t="inlineStr">
        <is>
          <t>PathWize als produktgetriebene Annotation-Plattform mit hohem Automatisierungsgrad praesentieren, nicht als Labeling-Dienstleister, und direkt an die 'Data &amp; Infrastructure'-These andocken.</t>
        </is>
      </c>
      <c r="O30" s="16" t="inlineStr">
        <is>
          <t>Reiner Pre-Seed-/Seed-Lead mit 'Data &amp; Infrastructure' und AI als offiziell ausgewiesenen Kernkategorien und aktuellem Fonds IV samt frischen AI-Deals 2025/2026.</t>
        </is>
      </c>
      <c r="P30" s="18" t="inlineStr">
        <is>
          <t>Offen</t>
        </is>
      </c>
      <c r="Q30" s="18" t="inlineStr"/>
      <c r="R30" s="19" t="inlineStr"/>
      <c r="S30" s="19" t="inlineStr"/>
      <c r="T30" s="18" t="inlineStr"/>
      <c r="U30" s="16" t="inlineStr"/>
      <c r="V30" s="16" t="inlineStr"/>
    </row>
    <row r="31">
      <c r="A31" s="12" t="n">
        <v>27</v>
      </c>
      <c r="B31" s="20" t="inlineStr">
        <is>
          <t>2</t>
        </is>
      </c>
      <c r="C31" s="14" t="inlineStr">
        <is>
          <t>D11Z Ventures</t>
        </is>
      </c>
      <c r="D31" s="13" t="inlineStr">
        <is>
          <t>A</t>
        </is>
      </c>
      <c r="E31" s="13" t="n">
        <v>89</v>
      </c>
      <c r="F31" s="15" t="inlineStr">
        <is>
          <t>Heilbronn (weitere Standorte: München, Zürich)</t>
        </is>
      </c>
      <c r="G31" s="16" t="inlineStr">
        <is>
          <t>Pre-Seed und Seed, selektiv Series A und Folgerunden ('through scale')</t>
        </is>
      </c>
      <c r="H31" s="16" t="inlineStr">
        <is>
          <t>Pre-Seed bis ca. 125 Tsd. EUR, Seed bis ca. 750 Tsd. EUR, Series A bis ca. 2 Mio. EUR; Erstinvestments ca. 100 Tsd. bis 1,5 Mio. EUR</t>
        </is>
      </c>
      <c r="I31" s="16" t="inlineStr">
        <is>
          <t>-</t>
        </is>
      </c>
      <c r="J31" s="16" t="inlineStr">
        <is>
          <t>Tom (Thomas) Villinger</t>
        </is>
      </c>
      <c r="K31" s="16" t="inlineStr">
        <is>
          <t>CEO / Managing Partner</t>
        </is>
      </c>
      <c r="L31" s="16" t="inlineStr">
        <is>
          <t>https://www.linkedin.com/in/tom-villinger-d11z/</t>
        </is>
      </c>
      <c r="M31" s="16" t="inlineStr">
        <is>
          <t>Pitch-Formular: https://d11z.com/pitch/</t>
        </is>
      </c>
      <c r="N31" s="16" t="inlineStr">
        <is>
          <t>Direkt über das Pitch-Formular mit der Positionierung 'AI Infrastructure Layer' ansprechen: PathWize liefert die Trainingsdaten-Schicht, die die AI-Infra-These von D11Z komplettiert.</t>
        </is>
      </c>
      <c r="O31" s="16" t="inlineStr">
        <is>
          <t>D11Z nennt 'AI Infrastructure' und B2B SaaS als explizite Kernverticals und investiert genau in Pre-Seed/Seed in Europa - thematisch und phasenseitig einer der passendsten Adressaten der Batch. Die Evergreen-Struktur erlaubt langfristige Begleitung ohne Fondslaufzeit-Druck.</t>
        </is>
      </c>
      <c r="P31" s="18" t="inlineStr">
        <is>
          <t>Offen</t>
        </is>
      </c>
      <c r="Q31" s="18" t="inlineStr"/>
      <c r="R31" s="19" t="inlineStr"/>
      <c r="S31" s="19" t="inlineStr"/>
      <c r="T31" s="18" t="inlineStr"/>
      <c r="U31" s="16" t="inlineStr"/>
      <c r="V31" s="16" t="inlineStr"/>
    </row>
    <row r="32">
      <c r="A32" s="12" t="n">
        <v>28</v>
      </c>
      <c r="B32" s="20" t="inlineStr">
        <is>
          <t>2</t>
        </is>
      </c>
      <c r="C32" s="14" t="inlineStr">
        <is>
          <t>La Famiglia</t>
        </is>
      </c>
      <c r="D32" s="13" t="inlineStr">
        <is>
          <t>A</t>
        </is>
      </c>
      <c r="E32" s="13" t="n">
        <v>89</v>
      </c>
      <c r="F32" s="15" t="inlineStr">
        <is>
          <t>Berlin / München</t>
        </is>
      </c>
      <c r="G32" s="16" t="inlineStr">
        <is>
          <t>Pre-Seed und Seed (europäisches Seed-Programm innerhalb von General Catalyst), Folgefinanzierungen bis Growth über GC</t>
        </is>
      </c>
      <c r="H32" s="16" t="inlineStr">
        <is>
          <t>n/a (Seed-Tickets typ. 1-5 Mio. EUR, nicht offiziell publiziert)</t>
        </is>
      </c>
      <c r="I32" s="16" t="inlineStr">
        <is>
          <t>-</t>
        </is>
      </c>
      <c r="J32" s="16" t="inlineStr">
        <is>
          <t>Jeannette zu Fürstenberg</t>
        </is>
      </c>
      <c r="K32" s="16" t="inlineStr">
        <is>
          <t>President &amp; Managing Director General Catalyst (Europa), Gründungspartnerin La Famiglia, Board-Mitglied bei Mistral AI und Helsing</t>
        </is>
      </c>
      <c r="L32" s="16" t="inlineStr">
        <is>
          <t>n/a</t>
        </is>
      </c>
      <c r="M32" s="16" t="inlineStr">
        <is>
          <t>https://www.generalcatalyst.com/ (Kontakt über GC-Website; La-Famiglia-Kanäle bestehen teils fort)</t>
        </is>
      </c>
      <c r="N32" s="16" t="inlineStr">
        <is>
          <t>Über eine warme Einführung aus dem La-Famiglia-Industrienetzwerk an Jeannette zu Fürstenberg herantreten und PathWize als europäische Trainingsdaten-Schicht für Mistral- und Helsing-artige Souveränitäts-AI positionieren.</t>
        </is>
      </c>
      <c r="O32" s="16" t="inlineStr">
        <is>
          <t>Als Seed-Arm von General Catalyst in Europa investiert das Team explizit in AI und industrielle Transformation und hat mit Mistral AI und Helsing zwei der größten europäischen Trainingsdaten-Abnehmer im Portfolio. Das La-Famiglia-Netzwerk in den deutschen Industriemittelstand ist zudem ein direkter Vertriebskanal für B2B-Labeling.</t>
        </is>
      </c>
      <c r="P32" s="18" t="inlineStr">
        <is>
          <t>Offen</t>
        </is>
      </c>
      <c r="Q32" s="18" t="inlineStr"/>
      <c r="R32" s="19" t="inlineStr"/>
      <c r="S32" s="19" t="inlineStr"/>
      <c r="T32" s="18" t="inlineStr"/>
      <c r="U32" s="16" t="inlineStr"/>
      <c r="V32" s="16" t="inlineStr"/>
    </row>
    <row r="33">
      <c r="A33" s="12" t="n">
        <v>29</v>
      </c>
      <c r="B33" s="20" t="inlineStr">
        <is>
          <t>2</t>
        </is>
      </c>
      <c r="C33" s="14" t="inlineStr">
        <is>
          <t>NAP (The Expert Founder Fund)</t>
        </is>
      </c>
      <c r="D33" s="13" t="inlineStr">
        <is>
          <t>A</t>
        </is>
      </c>
      <c r="E33" s="13" t="n">
        <v>89</v>
      </c>
      <c r="F33" s="15" t="inlineStr">
        <is>
          <t>Berlin</t>
        </is>
      </c>
      <c r="G33" s="16" t="inlineStr">
        <is>
          <t>Pre-Seed und Seed</t>
        </is>
      </c>
      <c r="H33" s="16" t="inlineStr">
        <is>
          <t>1 - 4 Mio. EUR Erstinvestment</t>
        </is>
      </c>
      <c r="I33" s="16" t="inlineStr">
        <is>
          <t>Data-Infra-nah</t>
        </is>
      </c>
      <c r="J33" s="16" t="inlineStr">
        <is>
          <t>Stefan Walter</t>
        </is>
      </c>
      <c r="K33" s="16" t="inlineStr">
        <is>
          <t>Managing Partner (weitere Partner: Claude Ritter, Francesco Sieben; Netzwerk u.a. Dominik Matyka, Marcel Hollerbach, Markus Fuhrmann, Rouven Dresselhaus)</t>
        </is>
      </c>
      <c r="L33" s="16" t="inlineStr">
        <is>
          <t>n/a</t>
        </is>
      </c>
      <c r="M33" s="16" t="inlineStr">
        <is>
          <t>Kontakt über nap.vc (kein öffentliches Pitch-Formular verifiziert); Zugang bevorzugt über Warm Intro aus dem Expert-Founder-Netzwerk</t>
        </is>
      </c>
      <c r="N33" s="16" t="inlineStr">
        <is>
          <t>Direkt an der Aleph-Alpha-These andocken: PathWize liefert die souveräne europäische Trainingsdaten-Schicht, ohne die europäische Foundation Models weiterhin von US-Labeling-Anbietern abhängig bleiben.</t>
        </is>
      </c>
      <c r="O33" s="16" t="inlineStr">
        <is>
          <t>Exakter Stage-Match (Pre-Seed/Seed, 1-4 Mio. EUR Lead-Tickets) kombiniert mit einer 'technische Gründer lösen harte Enterprise-Probleme'-These und dem Aleph-Alpha-Investment als hartem Beleg für AI-Infrastruktur-Überzeugung. Deutschland/Europa ist explizit der Kernmarkt.</t>
        </is>
      </c>
      <c r="P33" s="18" t="inlineStr">
        <is>
          <t>Offen</t>
        </is>
      </c>
      <c r="Q33" s="18" t="inlineStr"/>
      <c r="R33" s="19" t="inlineStr"/>
      <c r="S33" s="19" t="inlineStr"/>
      <c r="T33" s="18" t="inlineStr"/>
      <c r="U33" s="16" t="inlineStr"/>
      <c r="V33" s="16" t="inlineStr"/>
    </row>
    <row r="34">
      <c r="A34" s="12" t="n">
        <v>30</v>
      </c>
      <c r="B34" s="20" t="inlineStr">
        <is>
          <t>2</t>
        </is>
      </c>
      <c r="C34" s="14" t="inlineStr">
        <is>
          <t>Senovo</t>
        </is>
      </c>
      <c r="D34" s="13" t="inlineStr">
        <is>
          <t>A</t>
        </is>
      </c>
      <c r="E34" s="13" t="n">
        <v>89</v>
      </c>
      <c r="F34" s="15" t="inlineStr">
        <is>
          <t>Muenchen und Berlin</t>
        </is>
      </c>
      <c r="G34" s="16" t="inlineStr">
        <is>
          <t>Late Seed und Series A (nach Product-Market-Fit mit ersten Umsaetzen)</t>
        </is>
      </c>
      <c r="H34" s="16" t="inlineStr">
        <is>
          <t>EUR 1 bis 5 Mio. Erstinvestment</t>
        </is>
      </c>
      <c r="I34" s="16" t="inlineStr">
        <is>
          <t>-</t>
        </is>
      </c>
      <c r="J34" s="16" t="inlineStr">
        <is>
          <t>Dr. Alexander Buchberger</t>
        </is>
      </c>
      <c r="K34" s="16" t="inlineStr">
        <is>
          <t>Partner (weitere Partner: Frederick Mallinckrodt, Markus Grundmann, Mona Gindler)</t>
        </is>
      </c>
      <c r="L34" s="16" t="inlineStr">
        <is>
          <t>n/a (Firmenprofil: https://www.linkedin.com/company/senovovc/)</t>
        </is>
      </c>
      <c r="M34" s="16" t="inlineStr">
        <is>
          <t>alex@senovo.vc, frederick@senovo.vc, markus@senovo.vc, mona@senovo.vc (Senovo bittet ausdruecklich um direkte Pitch-Deck-Zusendung an das Team)</t>
        </is>
      </c>
      <c r="N34" s="16" t="inlineStr">
        <is>
          <t>Mit harten SaaS-Metriken einsteigen (MRR, Net Revenue Retention, Bruttomarge pro Labeling-Projekt) und PathWize als AI-first-Infrastrukturlayer fuer die Enterprise-Digitalisierung positionieren, die Senovo explizit sucht.</t>
        </is>
      </c>
      <c r="O34" s="16" t="inlineStr">
        <is>
          <t>Reinrassiger europaeischer B2B-Software-Fonds mit erklaertem AI-first- und Infrastruktur-Fokus, frischem Fonds IV (EUR 80 Mio.) und Tickets von EUR 1 bis 5 Mio. - ideal fuer PathWize ab Late Seed / Series A.</t>
        </is>
      </c>
      <c r="P34" s="18" t="inlineStr">
        <is>
          <t>Offen</t>
        </is>
      </c>
      <c r="Q34" s="18" t="inlineStr"/>
      <c r="R34" s="19" t="inlineStr"/>
      <c r="S34" s="19" t="inlineStr"/>
      <c r="T34" s="18" t="inlineStr"/>
      <c r="U34" s="16" t="inlineStr"/>
      <c r="V34" s="16" t="inlineStr"/>
    </row>
    <row r="35">
      <c r="A35" s="12" t="n">
        <v>31</v>
      </c>
      <c r="B35" s="20" t="inlineStr">
        <is>
          <t>2</t>
        </is>
      </c>
      <c r="C35" s="14" t="inlineStr">
        <is>
          <t>Serena (Serena Data Ventures II)</t>
        </is>
      </c>
      <c r="D35" s="13" t="inlineStr">
        <is>
          <t>A</t>
        </is>
      </c>
      <c r="E35" s="13" t="n">
        <v>89</v>
      </c>
      <c r="F35" s="18" t="inlineStr">
        <is>
          <t>Paris</t>
        </is>
      </c>
      <c r="G35" s="16" t="inlineStr">
        <is>
          <t>Serena Data Ventures II: Early Stage / Seed bis Series B; Plattform insgesamt Pre-Seed bis Series A</t>
        </is>
      </c>
      <c r="H35" s="16" t="inlineStr">
        <is>
          <t>0,5-3,5 Mio. EUR (Serena Data Ventures II); Plattform insgesamt 0,1-15 Mio. EUR Erstinvestment</t>
        </is>
      </c>
      <c r="I35" s="16" t="inlineStr">
        <is>
          <t>-</t>
        </is>
      </c>
      <c r="J35" s="16" t="inlineStr">
        <is>
          <t>Bertrand Diard</t>
        </is>
      </c>
      <c r="K35" s="16" t="inlineStr">
        <is>
          <t>Investment Partner, Mitgruender von Talend, initiierte Serena Data Ventures 2017</t>
        </is>
      </c>
      <c r="L35" s="16" t="inlineStr">
        <is>
          <t>n/a</t>
        </is>
      </c>
      <c r="M35" s="16" t="inlineStr">
        <is>
          <t>Kontaktformular auf serena.vc; Buero 21 rue Auber, 75009 Paris, +33 1 77 37 30 30</t>
        </is>
      </c>
      <c r="N35" s="16" t="inlineStr">
        <is>
          <t>PathWize als den fehlenden Human-in-the-loop-Baustein im Modern Data Stack positionieren, den Serena seit Talend/Dataiku systematisch bespielt.</t>
        </is>
      </c>
      <c r="O35" s="16" t="inlineStr">
        <is>
          <t>Einer der wenigen europaeischen Fonds mit einem dedizierten 100-Mio.-EUR-Data/AI-Vehikel und einer expliziten These auf den Datenlayer unterhalb der AI-Anwendungen - genau die Ebene, auf der PathWize sitzt.</t>
        </is>
      </c>
      <c r="P35" s="18" t="inlineStr">
        <is>
          <t>Offen</t>
        </is>
      </c>
      <c r="Q35" s="18" t="inlineStr"/>
      <c r="R35" s="19" t="inlineStr"/>
      <c r="S35" s="19" t="inlineStr"/>
      <c r="T35" s="18" t="inlineStr"/>
      <c r="U35" s="16" t="inlineStr"/>
      <c r="V35" s="16" t="inlineStr"/>
    </row>
    <row r="36">
      <c r="A36" s="12" t="n">
        <v>32</v>
      </c>
      <c r="B36" s="20" t="inlineStr">
        <is>
          <t>2</t>
        </is>
      </c>
      <c r="C36" s="14" t="inlineStr">
        <is>
          <t>BlueYard Capital</t>
        </is>
      </c>
      <c r="D36" s="13" t="inlineStr">
        <is>
          <t>A</t>
        </is>
      </c>
      <c r="E36" s="13" t="n">
        <v>88</v>
      </c>
      <c r="F36" s="15" t="inlineStr">
        <is>
          <t>Berlin (zusaetzlich US-Praesenz)</t>
        </is>
      </c>
      <c r="G36" s="16" t="inlineStr">
        <is>
          <t>Pre-Seed, Seed, Series A</t>
        </is>
      </c>
      <c r="H36" s="16" t="inlineStr">
        <is>
          <t>ca. 0,5 - 5 Mio. USD Erstinvestment</t>
        </is>
      </c>
      <c r="I36" s="16" t="inlineStr">
        <is>
          <t>-</t>
        </is>
      </c>
      <c r="J36" s="16" t="inlineStr">
        <is>
          <t>Ciaran O'Leary</t>
        </is>
      </c>
      <c r="K36" s="16" t="inlineStr">
        <is>
          <t>Co-Founder / General Partner</t>
        </is>
      </c>
      <c r="L36" s="16" t="inlineStr">
        <is>
          <t>n/a</t>
        </is>
      </c>
      <c r="M36" s="16" t="inlineStr">
        <is>
          <t>Kontakt ueber blueyard.com; keine oeffentliche Pitch-Mail ausgewiesen, Zugang typischerweise ueber Warm Intro</t>
        </is>
      </c>
      <c r="N36" s="16" t="inlineStr">
        <is>
          <t>PathWize als Infrastrukturschicht positionieren, die Trainingsdaten aus proprietaeren Unternehmensdatenquellen 'befreit' und damit direkt an BlueYards 'liberate data'-These andockt.</t>
        </is>
      </c>
      <c r="O36" s="16" t="inlineStr">
        <is>
          <t>Berliner Pre-Seed/Seed-Lead mit ausgewiesener AI- und Daten-Infrastruktur-These (Groq, Filecoin) und passender Ticketgroesse fuer PathWize' Pre-Seed/Seed.</t>
        </is>
      </c>
      <c r="P36" s="18" t="inlineStr">
        <is>
          <t>Offen</t>
        </is>
      </c>
      <c r="Q36" s="18" t="inlineStr"/>
      <c r="R36" s="19" t="inlineStr"/>
      <c r="S36" s="19" t="inlineStr"/>
      <c r="T36" s="18" t="inlineStr"/>
      <c r="U36" s="16" t="inlineStr"/>
      <c r="V36" s="16" t="inlineStr"/>
    </row>
    <row r="37">
      <c r="A37" s="12" t="n">
        <v>33</v>
      </c>
      <c r="B37" s="20" t="inlineStr">
        <is>
          <t>2</t>
        </is>
      </c>
      <c r="C37" s="14" t="inlineStr">
        <is>
          <t>Cusp Capital</t>
        </is>
      </c>
      <c r="D37" s="13" t="inlineStr">
        <is>
          <t>A</t>
        </is>
      </c>
      <c r="E37" s="13" t="n">
        <v>88</v>
      </c>
      <c r="F37" s="15" t="inlineStr">
        <is>
          <t>Essen (weitere Standorte: Berlin, München)</t>
        </is>
      </c>
      <c r="G37" s="16" t="inlineStr">
        <is>
          <t>Seed und Series A (Early Stage), Follow-ons bis Wachstumsphase</t>
        </is>
      </c>
      <c r="H37" s="16" t="inlineStr">
        <is>
          <t>Erstinvestments im einstelligen Millionenbereich, Follow-on-Reserven bis ca. 35 Mio. EUR (offizielle Angabe auf der Website: n/a)</t>
        </is>
      </c>
      <c r="I37" s="16" t="inlineStr">
        <is>
          <t>Data-Infra-nah</t>
        </is>
      </c>
      <c r="J37" s="16" t="inlineStr">
        <is>
          <t>Jan Sessenhausen</t>
        </is>
      </c>
      <c r="K37" s="16" t="inlineStr">
        <is>
          <t>General Partner, Fokus Enterprise Software, Daten-Technologien, Cloud und Open Source</t>
        </is>
      </c>
      <c r="L37" s="16" t="inlineStr">
        <is>
          <t>n/a</t>
        </is>
      </c>
      <c r="M37" s="16" t="inlineStr">
        <is>
          <t>Kontaktformular 'Get in touch' auf https://www.cuspcapital.com/ ; direkte E-Mail-Adresse nicht öffentlich</t>
        </is>
      </c>
      <c r="N37" s="16" t="inlineStr">
        <is>
          <t>PathWize als deutsche Antwort auf die europäische Datensouveränitäts-These positionieren - Trainingsdaten-Infrastruktur made in Europe, direkt anschlussfähig an das Immerok-Investment und Sessenhausens Data-/Open-Source-Fokus.</t>
        </is>
      </c>
      <c r="O37" s="16" t="inlineStr">
        <is>
          <t>Cusp Capital investiert genau in der Zielphase (Seed/Series A) in europäische Enterprise-Software und hat mit dem Lead-Investment in Immerok (Apache Flink) einen belegten Track Record in Data-Infrastruktur. Jan Sessenhausen deckt Enterprise Software, Daten-Technologien und Open Source als Kernkompetenz ab.</t>
        </is>
      </c>
      <c r="P37" s="18" t="inlineStr">
        <is>
          <t>Offen</t>
        </is>
      </c>
      <c r="Q37" s="18" t="inlineStr"/>
      <c r="R37" s="19" t="inlineStr"/>
      <c r="S37" s="19" t="inlineStr"/>
      <c r="T37" s="18" t="inlineStr"/>
      <c r="U37" s="16" t="inlineStr"/>
      <c r="V37" s="16" t="inlineStr"/>
    </row>
    <row r="38">
      <c r="A38" s="12" t="n">
        <v>34</v>
      </c>
      <c r="B38" s="20" t="inlineStr">
        <is>
          <t>2</t>
        </is>
      </c>
      <c r="C38" s="14" t="inlineStr">
        <is>
          <t>Index Ventures</t>
        </is>
      </c>
      <c r="D38" s="13" t="inlineStr">
        <is>
          <t>A</t>
        </is>
      </c>
      <c r="E38" s="13" t="n">
        <v>88</v>
      </c>
      <c r="F38" s="15" t="inlineStr">
        <is>
          <t>London (weitere Büros: San Francisco, New York)</t>
        </is>
      </c>
      <c r="G38" s="16" t="inlineStr">
        <is>
          <t>Seed bis Growth; dedizierte Venture-Fonds für Seed und Series A</t>
        </is>
      </c>
      <c r="H38" s="16" t="inlineStr">
        <is>
          <t>n/a (Seed ab niedrigem einstelligen Mio.-Bereich bis zu großen Growth-Tickets)</t>
        </is>
      </c>
      <c r="I38" s="17" t="inlineStr">
        <is>
          <t>DIREKT: Scale Ai – Wettbewerbskonflikt pruefen</t>
        </is>
      </c>
      <c r="J38" s="16" t="inlineStr">
        <is>
          <t>Danny Rimer</t>
        </is>
      </c>
      <c r="K38" s="16" t="inlineStr">
        <is>
          <t>Partner (London; Website-belegt als aktiver Partner)</t>
        </is>
      </c>
      <c r="L38" s="16" t="inlineStr">
        <is>
          <t>n/a</t>
        </is>
      </c>
      <c r="M38" s="16" t="inlineStr">
        <is>
          <t>Über Kontaktformular auf https://www.indexventures.com/</t>
        </is>
      </c>
      <c r="N38" s="16" t="inlineStr">
        <is>
          <t>Warme Einführung über einen Index-Gründer oder ein Portfoliounternehmen suchen. Narrativ: 'Was Scale AI für die USA ist, fehlt Europa unter EU-Datenschutz- und Souveränitätsanforderungen' - PathWize als europäische, DSGVO-konforme Human-in-the-loop-Datenschicht positionieren.</t>
        </is>
      </c>
      <c r="O38" s="16" t="inlineStr">
        <is>
          <t>Bester inhaltlicher Fit der gesamten Erweiterungsliste: Index investiert von Seed bis Growth, hat den Data-Labeling-Markt über Scale AI selbst mitgeprägt und besitzt ein umfangreiches AI-Infrastruktur-Portfolio. Londoner Basis mit europaweiter Abdeckung inklusive DACH.</t>
        </is>
      </c>
      <c r="P38" s="18" t="inlineStr">
        <is>
          <t>Offen</t>
        </is>
      </c>
      <c r="Q38" s="18" t="inlineStr"/>
      <c r="R38" s="19" t="inlineStr"/>
      <c r="S38" s="19" t="inlineStr"/>
      <c r="T38" s="18" t="inlineStr"/>
      <c r="U38" s="16" t="inlineStr"/>
      <c r="V38" s="16" t="inlineStr"/>
    </row>
    <row r="39">
      <c r="A39" s="12" t="n">
        <v>35</v>
      </c>
      <c r="B39" s="20" t="inlineStr">
        <is>
          <t>2</t>
        </is>
      </c>
      <c r="C39" s="14" t="inlineStr">
        <is>
          <t>Nauta Capital</t>
        </is>
      </c>
      <c r="D39" s="13" t="inlineStr">
        <is>
          <t>A</t>
        </is>
      </c>
      <c r="E39" s="13" t="n">
        <v>88</v>
      </c>
      <c r="F39" s="15" t="inlineStr">
        <is>
          <t>Barcelona (Büro London)</t>
        </is>
      </c>
      <c r="G39" s="16" t="inlineStr">
        <is>
          <t>Seed und Series A (Pre-Revenue akzeptiert, Produkt muss operativ sein)</t>
        </is>
      </c>
      <c r="H39" s="16" t="inlineStr">
        <is>
          <t>1-5 Mio. EUR durchschnittlich</t>
        </is>
      </c>
      <c r="I39" s="17" t="inlineStr">
        <is>
          <t>DIREKT: Neurolabs – Wettbewerbskonflikt pruefen</t>
        </is>
      </c>
      <c r="J39" s="16" t="inlineStr">
        <is>
          <t>Carles Ferrer</t>
        </is>
      </c>
      <c r="K39" s="16" t="inlineStr">
        <is>
          <t>General Partner (London); weitere Partner: Jordi Viñas (General Partner, Barcelona), Borja Breña (Partner), Anna Daviau (Partner)</t>
        </is>
      </c>
      <c r="L39" s="16" t="inlineStr">
        <is>
          <t>https://www.linkedin.com/in/borjabrena/ (Borja Breña), https://www.linkedin.com/in/annadaviau/ (Anna Daviau)</t>
        </is>
      </c>
      <c r="M39" s="16" t="inlineStr">
        <is>
          <t>https://landbot.pro/v3/H-1323981-R5EH2XF48C3RH3XZ/index.html (Pitch-Formular), https://www.nautacapital.com/contact</t>
        </is>
      </c>
      <c r="N39" s="16" t="inlineStr">
        <is>
          <t>Über das Pitch-Formular mit direktem Bezug zu Neurolabs einsteigen: PathWize ergänzt synthetische Daten um verifizierte Human-in-the-Loop-Annotation und passt als kapitaleffizientes B2B-Software-Play in die 'AI/ML &amp; Data'-Kategorie.</t>
        </is>
      </c>
      <c r="O39" s="16" t="inlineStr">
        <is>
          <t>Nauta führt 'AI/ML &amp; Data' und 'DevTools &amp; Infra' als eigene Investment-Kategorien und hat mit Neurolabs (synthetische Trainingsdaten) und YZR (Datennormalisierung) die thesenmäßig nächstliegenden Portfoliounternehmen dieser Batch. Seed/Series-A-Tickets von 1-5 Mio. EUR passen exakt.</t>
        </is>
      </c>
      <c r="P39" s="18" t="inlineStr">
        <is>
          <t>Offen</t>
        </is>
      </c>
      <c r="Q39" s="18" t="inlineStr"/>
      <c r="R39" s="19" t="inlineStr"/>
      <c r="S39" s="19" t="inlineStr"/>
      <c r="T39" s="18" t="inlineStr"/>
      <c r="U39" s="16" t="inlineStr"/>
      <c r="V39" s="16" t="inlineStr"/>
    </row>
    <row r="40">
      <c r="A40" s="12" t="n">
        <v>36</v>
      </c>
      <c r="B40" s="20" t="inlineStr">
        <is>
          <t>2</t>
        </is>
      </c>
      <c r="C40" s="14" t="inlineStr">
        <is>
          <t>UVC Partners</t>
        </is>
      </c>
      <c r="D40" s="13" t="inlineStr">
        <is>
          <t>A</t>
        </is>
      </c>
      <c r="E40" s="13" t="n">
        <v>88</v>
      </c>
      <c r="F40" s="15" t="inlineStr">
        <is>
          <t>Muenchen</t>
        </is>
      </c>
      <c r="G40" s="16" t="inlineStr">
        <is>
          <t>Seed und Series A, mit neuem Wachstumsvehikel bis Series B</t>
        </is>
      </c>
      <c r="H40" s="16" t="inlineStr">
        <is>
          <t>initial bis 10 Mio. EUR, bis 30 Mio. EUR pro Unternehmen ueber alle Runden</t>
        </is>
      </c>
      <c r="I40" s="16" t="inlineStr">
        <is>
          <t>-</t>
        </is>
      </c>
      <c r="J40" s="16" t="inlineStr">
        <is>
          <t>Benjamin Erhart</t>
        </is>
      </c>
      <c r="K40" s="16" t="inlineStr">
        <is>
          <t>General Partner (Software/AI-Schwerpunkt); Managing Partners: Ingo Potthof und Johannes von Borries</t>
        </is>
      </c>
      <c r="L40" s="16" t="inlineStr">
        <is>
          <t>https://de.linkedin.com/in/benjaminerhart</t>
        </is>
      </c>
      <c r="M40" s="16" t="inlineStr">
        <is>
          <t>Kontakt-/Pitchformular auf https://www.uvcpartners.com/</t>
        </is>
      </c>
      <c r="N40" s="16" t="inlineStr">
        <is>
          <t>Ueber Aleph Alpha argumentieren: souveraene deutsche AI-Modelle brauchen souveraene deutsche Trainingsdaten - PathWize als die Datenpipeline dieser Wertschoepfungskette.</t>
        </is>
      </c>
      <c r="O40" s="16" t="inlineStr">
        <is>
          <t>Muenchner B2B-DeepTech-Lead mit 400 Mio. EUR frischem Kapital, Seed-/Series-A-Fokus und mit Aleph Alpha sowie Celonis genau den Referenzen, die eine Trainingsdaten-Infrastruktur-Story anschlussfaehig machen. Deutscher Sitz und breite Ticketspanne decken Seed bis Series A vollstaendig ab.</t>
        </is>
      </c>
      <c r="P40" s="18" t="inlineStr">
        <is>
          <t>Offen</t>
        </is>
      </c>
      <c r="Q40" s="18" t="inlineStr"/>
      <c r="R40" s="19" t="inlineStr"/>
      <c r="S40" s="19" t="inlineStr"/>
      <c r="T40" s="18" t="inlineStr"/>
      <c r="U40" s="16" t="inlineStr"/>
      <c r="V40" s="16" t="inlineStr"/>
    </row>
    <row r="41">
      <c r="A41" s="12" t="n">
        <v>37</v>
      </c>
      <c r="B41" s="20" t="inlineStr">
        <is>
          <t>2</t>
        </is>
      </c>
      <c r="C41" s="14" t="inlineStr">
        <is>
          <t>10x Founders</t>
        </is>
      </c>
      <c r="D41" s="13" t="inlineStr">
        <is>
          <t>A</t>
        </is>
      </c>
      <c r="E41" s="13" t="n">
        <v>87</v>
      </c>
      <c r="F41" s="15" t="inlineStr">
        <is>
          <t>München</t>
        </is>
      </c>
      <c r="G41" s="16" t="inlineStr">
        <is>
          <t>Pre-Seed und Seed in Europa und USA</t>
        </is>
      </c>
      <c r="H41" s="16" t="inlineStr">
        <is>
          <t>n/a (nicht offiziell publiziert; Pre-Seed/Seed-typisch)</t>
        </is>
      </c>
      <c r="I41" s="16" t="inlineStr">
        <is>
          <t>-</t>
        </is>
      </c>
      <c r="J41" s="16" t="inlineStr">
        <is>
          <t>n/a</t>
        </is>
      </c>
      <c r="K41" s="16" t="inlineStr">
        <is>
          <t>n/a (sechs Partner, Namen auf der Website nicht einzeln ausgewiesen)</t>
        </is>
      </c>
      <c r="L41" s="16" t="inlineStr">
        <is>
          <t>n/a</t>
        </is>
      </c>
      <c r="M41" s="16" t="inlineStr">
        <is>
          <t>info@10xfounders.com; Brienner Str. 21, 80333 München</t>
        </is>
      </c>
      <c r="N41" s="16" t="inlineStr">
        <is>
          <t>Über info@10xfounders.com mit einem konkreten Bezug zu Magic.dev und LastMile AI anschreiben: PathWize liefert die Human-in-the-Loop-Datenschicht, die AI-Coding- und Evaluation-Tools im Portfolio zur Qualitätssicherung benötigen.</t>
        </is>
      </c>
      <c r="O41" s="16" t="inlineStr">
        <is>
          <t>10x Founders investiert ausschließlich in Pre-Seed und Seed, nennt AI und B2B SaaS explizit in der These und hat mit Magic.dev und LastMile AI Investments direkt in der AI-Developer-Tooling-Nachbarschaft von PathWize. Das Netzwerk aus 300+ Unternehmern in München ist zudem ein starker Kundenzugang für B2B-Labeling.</t>
        </is>
      </c>
      <c r="P41" s="18" t="inlineStr">
        <is>
          <t>Offen</t>
        </is>
      </c>
      <c r="Q41" s="18" t="inlineStr"/>
      <c r="R41" s="19" t="inlineStr"/>
      <c r="S41" s="19" t="inlineStr"/>
      <c r="T41" s="18" t="inlineStr"/>
      <c r="U41" s="16" t="inlineStr"/>
      <c r="V41" s="16" t="inlineStr"/>
    </row>
    <row r="42">
      <c r="A42" s="12" t="n">
        <v>38</v>
      </c>
      <c r="B42" s="20" t="inlineStr">
        <is>
          <t>2</t>
        </is>
      </c>
      <c r="C42" s="14" t="inlineStr">
        <is>
          <t>Accel (Europa/London)</t>
        </is>
      </c>
      <c r="D42" s="13" t="inlineStr">
        <is>
          <t>A</t>
        </is>
      </c>
      <c r="E42" s="13" t="n">
        <v>87</v>
      </c>
      <c r="F42" s="15" t="inlineStr">
        <is>
          <t>London (europäisches Büro; global Palo Alto, Bangalore)</t>
        </is>
      </c>
      <c r="G42" s="16" t="inlineStr">
        <is>
          <t>Seed und Series A in Europa (Accel hat zusätzlich ein dediziertes Pre-Seed-/Seed-Programm) sowie Growth</t>
        </is>
      </c>
      <c r="H42" s="16" t="inlineStr">
        <is>
          <t>n/a</t>
        </is>
      </c>
      <c r="I42" s="17" t="inlineStr">
        <is>
          <t>DIREKT: Scale Ai – Wettbewerbskonflikt pruefen</t>
        </is>
      </c>
      <c r="J42" s="16" t="inlineStr">
        <is>
          <t>Philippe Botteri</t>
        </is>
      </c>
      <c r="K42" s="16" t="inlineStr">
        <is>
          <t>Partner, London (Fokus Enterprise-/Cloud-Software; nicht in dieser Recherche über die Website verifiziert)</t>
        </is>
      </c>
      <c r="L42" s="16" t="inlineStr">
        <is>
          <t>n/a</t>
        </is>
      </c>
      <c r="M42" s="16" t="inlineStr">
        <is>
          <t>Kontaktseite auf https://www.accel.com/</t>
        </is>
      </c>
      <c r="N42" s="16" t="inlineStr">
        <is>
          <t>Über das Londoner Enterprise-Team ansprechen. Aufhänger: europäische Enterprise-Kunden brauchen Labeling-Pipelines, die in der EU verarbeitet werden - Regulatorik (EU AI Act, DSGVO) als struktureller Wettbewerbsvorteil gegenüber US-Anbietern.</t>
        </is>
      </c>
      <c r="O42" s="16" t="inlineStr">
        <is>
          <t>Accel kombiniert direkte Data-Labeling-Kategorie-Erfahrung (Scale AI) mit einem sehr aktiven europäischen Early-Stage-Team in London, das auch in DACH investiert. Fähig, Seed bis Series A und darüber hinaus zu leiten.</t>
        </is>
      </c>
      <c r="P42" s="18" t="inlineStr">
        <is>
          <t>Offen</t>
        </is>
      </c>
      <c r="Q42" s="18" t="inlineStr"/>
      <c r="R42" s="19" t="inlineStr"/>
      <c r="S42" s="19" t="inlineStr"/>
      <c r="T42" s="18" t="inlineStr"/>
      <c r="U42" s="16" t="inlineStr"/>
      <c r="V42" s="16" t="inlineStr"/>
    </row>
    <row r="43">
      <c r="A43" s="12" t="n">
        <v>39</v>
      </c>
      <c r="B43" s="20" t="inlineStr">
        <is>
          <t>2</t>
        </is>
      </c>
      <c r="C43" s="14" t="inlineStr">
        <is>
          <t>Balderton Capital</t>
        </is>
      </c>
      <c r="D43" s="13" t="inlineStr">
        <is>
          <t>A</t>
        </is>
      </c>
      <c r="E43" s="13" t="n">
        <v>87</v>
      </c>
      <c r="F43" s="15" t="inlineStr">
        <is>
          <t>London</t>
        </is>
      </c>
      <c r="G43" s="16" t="inlineStr">
        <is>
          <t>Series A als Kern, zunehmend Seed; separater Growth-Fonds bis IPO</t>
        </is>
      </c>
      <c r="H43" s="16" t="inlineStr">
        <is>
          <t>n/a (Series-A-Leadtickets typisch 5-20 Mio. USD)</t>
        </is>
      </c>
      <c r="I43" s="17" t="inlineStr">
        <is>
          <t>DIREKT: Kili – Wettbewerbskonflikt pruefen</t>
        </is>
      </c>
      <c r="J43" s="16" t="inlineStr">
        <is>
          <t>Bernard Liautaud</t>
        </is>
      </c>
      <c r="K43" s="16" t="inlineStr">
        <is>
          <t>Managing Partner (Gruender von Business Objects, fuehrte die Kili-Technology-Runde)</t>
        </is>
      </c>
      <c r="L43" s="16" t="inlineStr">
        <is>
          <t>n/a (Profilseite: https://www.balderton.com/team/bernard-liautaud/)</t>
        </is>
      </c>
      <c r="M43" s="16" t="inlineStr">
        <is>
          <t>Kontaktformular auf balderton.com; kein oeffentliches Pitch-Postfach belegbar</t>
        </is>
      </c>
      <c r="N43" s="16" t="inlineStr">
        <is>
          <t>Direkt an Bernard Liautaud mit der Kili-Analogie: PathWize adressiert dasselbe Problem, aber mit deutscher Datenhoheit und Human-in-the-loop-Qualitaet fuer regulierte europaeische Enterprises.</t>
        </is>
      </c>
      <c r="O43" s="16" t="inlineStr">
        <is>
          <t>Der einzige Fonds der Batch mit einem gefuehrten Investment in einen reinen Data-Annotation-Anbieter (Kili) plus deepset in Berlin - Balderton kennt Markt, Unit Economics und Wettbewerbsdynamik von Labeling-Plattformen genau.</t>
        </is>
      </c>
      <c r="P43" s="18" t="inlineStr">
        <is>
          <t>Offen</t>
        </is>
      </c>
      <c r="Q43" s="18" t="inlineStr"/>
      <c r="R43" s="19" t="inlineStr"/>
      <c r="S43" s="19" t="inlineStr"/>
      <c r="T43" s="18" t="inlineStr"/>
      <c r="U43" s="16" t="inlineStr"/>
      <c r="V43" s="16" t="inlineStr"/>
    </row>
    <row r="44">
      <c r="A44" s="12" t="n">
        <v>40</v>
      </c>
      <c r="B44" s="20" t="inlineStr">
        <is>
          <t>2</t>
        </is>
      </c>
      <c r="C44" s="14" t="inlineStr">
        <is>
          <t>HV Capital</t>
        </is>
      </c>
      <c r="D44" s="13" t="inlineStr">
        <is>
          <t>A</t>
        </is>
      </c>
      <c r="E44" s="13" t="n">
        <v>87</v>
      </c>
      <c r="F44" s="15" t="inlineStr">
        <is>
          <t>Muenchen und Berlin</t>
        </is>
      </c>
      <c r="G44" s="16" t="inlineStr">
        <is>
          <t>Seed bis Series D (getrennte Venture- und Growth-Tranchen)</t>
        </is>
      </c>
      <c r="H44" s="16" t="inlineStr">
        <is>
          <t>n/a im Detail; Seed-Tickets im niedrigen einstelligen Mio.-Bereich, Growth deutlich hoeher</t>
        </is>
      </c>
      <c r="I44" s="16" t="inlineStr">
        <is>
          <t>-</t>
        </is>
      </c>
      <c r="J44" s="16" t="inlineStr">
        <is>
          <t>n/a (9 Partner im Team, kein einzelner AI-Lead eindeutig belegbar)</t>
        </is>
      </c>
      <c r="K44" s="16" t="inlineStr">
        <is>
          <t>n/a</t>
        </is>
      </c>
      <c r="L44" s="16" t="inlineStr">
        <is>
          <t>n/a</t>
        </is>
      </c>
      <c r="M44" s="16" t="inlineStr">
        <is>
          <t>Kontakt-/Pitch-Formular auf hvcapital.com (Website zum Rechercheszeitpunkt zeitweise nicht erreichbar, HTTP 503)</t>
        </is>
      </c>
      <c r="N44" s="16" t="inlineStr">
        <is>
          <t>Ueber die Portfolio-Bruecke ansetzen: PathWize als Labeling-Partner fuer HV-Beteiligungen wie SPREAD AI und DeepL, die kontinuierlich hochwertige annotierte Domaenendaten benoetigen.</t>
        </is>
      </c>
      <c r="O44" s="16" t="inlineStr">
        <is>
          <t>Groesster unabhaengiger deutscher Multi-Stage-VC mit 783-Mio.-EUR-Fonds, expliziter AI-These und 31 Investments allein 2025 - fuehrt Seed- und Series-A-Runden in Deutschland aktiv an.</t>
        </is>
      </c>
      <c r="P44" s="18" t="inlineStr">
        <is>
          <t>Offen</t>
        </is>
      </c>
      <c r="Q44" s="18" t="inlineStr"/>
      <c r="R44" s="19" t="inlineStr"/>
      <c r="S44" s="19" t="inlineStr"/>
      <c r="T44" s="18" t="inlineStr"/>
      <c r="U44" s="16" t="inlineStr"/>
      <c r="V44" s="16" t="inlineStr"/>
    </row>
    <row r="45">
      <c r="A45" s="12" t="n">
        <v>41</v>
      </c>
      <c r="B45" s="20" t="inlineStr">
        <is>
          <t>2</t>
        </is>
      </c>
      <c r="C45" s="14" t="inlineStr">
        <is>
          <t>Redalpine</t>
        </is>
      </c>
      <c r="D45" s="13" t="inlineStr">
        <is>
          <t>A</t>
        </is>
      </c>
      <c r="E45" s="13" t="n">
        <v>87</v>
      </c>
      <c r="F45" s="15" t="inlineStr">
        <is>
          <t>Zuerich (+ Berlin, London)</t>
        </is>
      </c>
      <c r="G45" s="16" t="inlineStr">
        <is>
          <t>Seed bis Series A (Summit Fund fuer Later Stage)</t>
        </is>
      </c>
      <c r="H45" s="16" t="inlineStr">
        <is>
          <t>n/a (nicht oeffentlich; Seed bis Series A typisch 1-10 Mio.)</t>
        </is>
      </c>
      <c r="I45" s="16" t="inlineStr">
        <is>
          <t>-</t>
        </is>
      </c>
      <c r="J45" s="16" t="inlineStr">
        <is>
          <t>Dr. Michael Sidler</t>
        </is>
      </c>
      <c r="K45" s="16" t="inlineStr">
        <is>
          <t>Founding Partner (Zuerich); weitere: Peter Niederhauser (Founding Partner), Sebastian Becker (General Partner, London)</t>
        </is>
      </c>
      <c r="L45" s="16" t="inlineStr">
        <is>
          <t>n/a</t>
        </is>
      </c>
      <c r="M45" s="16" t="inlineStr">
        <is>
          <t>Kontakt-/Community-Formular auf redalpine.com; keine oeffentliche Pitch-E-Mail auffindbar</t>
        </is>
      </c>
      <c r="N45" s="16" t="inlineStr">
        <is>
          <t>Ueber das Berliner Buero anschreiben und PathWize als fehlendes Trainingsdaten-Layer zwischen Mistral (Modelle) und nscale (Compute) im europaeischen souveraenen AI-Stack positionieren.</t>
        </is>
      </c>
      <c r="O45" s="16" t="inlineStr">
        <is>
          <t>Von neun RAC-VII-Investments haben mehr als die Haelfte einen AI-first-Ansatz, der Rest signifikante AI-Integration - mit Mistral, Lakera und nscale ist der Fonds entlang des gesamten AI-Stacks positioniert und investiert von Zuerich, Berlin und London aus aktiv in DACH.</t>
        </is>
      </c>
      <c r="P45" s="18" t="inlineStr">
        <is>
          <t>Offen</t>
        </is>
      </c>
      <c r="Q45" s="18" t="inlineStr"/>
      <c r="R45" s="19" t="inlineStr"/>
      <c r="S45" s="19" t="inlineStr"/>
      <c r="T45" s="18" t="inlineStr"/>
      <c r="U45" s="16" t="inlineStr"/>
      <c r="V45" s="16" t="inlineStr"/>
    </row>
    <row r="46">
      <c r="A46" s="12" t="n">
        <v>42</v>
      </c>
      <c r="B46" s="20" t="inlineStr">
        <is>
          <t>2</t>
        </is>
      </c>
      <c r="C46" s="14" t="inlineStr">
        <is>
          <t>Angel Invest</t>
        </is>
      </c>
      <c r="D46" s="13" t="inlineStr">
        <is>
          <t>A</t>
        </is>
      </c>
      <c r="E46" s="13" t="n">
        <v>86</v>
      </c>
      <c r="F46" s="15" t="inlineStr">
        <is>
          <t>Berlin</t>
        </is>
      </c>
      <c r="G46" s="16" t="inlineStr">
        <is>
          <t>Angel, Pre-Seed, Seed (First Check)</t>
        </is>
      </c>
      <c r="H46" s="16" t="inlineStr">
        <is>
          <t>ca. 125.000 EUR Erstinvestment</t>
        </is>
      </c>
      <c r="I46" s="16" t="inlineStr">
        <is>
          <t>-</t>
        </is>
      </c>
      <c r="J46" s="16" t="inlineStr">
        <is>
          <t>Dr. Jens Lapinski</t>
        </is>
      </c>
      <c r="K46" s="16" t="inlineStr">
        <is>
          <t>Co-Founder, Managing Director &amp; Partner (zuvor Managing Director Techstars Berlin)</t>
        </is>
      </c>
      <c r="L46" s="16" t="inlineStr">
        <is>
          <t>n/a</t>
        </is>
      </c>
      <c r="M46" s="16" t="inlineStr">
        <is>
          <t>https://angelinvest.ventures/contact-us</t>
        </is>
      </c>
      <c r="N46" s="16" t="inlineStr">
        <is>
          <t>Als First-Check-Investor fuer die Pre-Seed-Runde ansprechen und den Bogen zu Rasa/Taktile schlagen: PathWize liefert die Human-in-the-loop-Trainingsdaten-Schicht, ohne die genau diese ML-Produkte nicht funktionieren.</t>
        </is>
      </c>
      <c r="O46" s="16" t="inlineStr">
        <is>
          <t>Extrem aktiver Berliner Pre-Seed-/Seed-Investor mit frischem 40-Mio.-EUR-Fonds III, dessen aktuelle Deals stark AI-native sind und der mit Rasa und Taktile belegte ML-/Data-Infrastruktur-Erfahrung hat. Perfekte Stage- und Geo-Passung fuer eine deutsche Pre-Seed-/Seed-Runde.</t>
        </is>
      </c>
      <c r="P46" s="18" t="inlineStr">
        <is>
          <t>Offen</t>
        </is>
      </c>
      <c r="Q46" s="18" t="inlineStr"/>
      <c r="R46" s="19" t="inlineStr"/>
      <c r="S46" s="19" t="inlineStr"/>
      <c r="T46" s="18" t="inlineStr"/>
      <c r="U46" s="16" t="inlineStr"/>
      <c r="V46" s="16" t="inlineStr"/>
    </row>
    <row r="47">
      <c r="A47" s="12" t="n">
        <v>43</v>
      </c>
      <c r="B47" s="20" t="inlineStr">
        <is>
          <t>2</t>
        </is>
      </c>
      <c r="C47" s="14" t="inlineStr">
        <is>
          <t>eCAPITAL</t>
        </is>
      </c>
      <c r="D47" s="13" t="inlineStr">
        <is>
          <t>A</t>
        </is>
      </c>
      <c r="E47" s="13" t="n">
        <v>86</v>
      </c>
      <c r="F47" s="15" t="inlineStr">
        <is>
          <t>Münster</t>
        </is>
      </c>
      <c r="G47" s="16" t="inlineStr">
        <is>
          <t>Seed, Series A und Series B (Early bis Growth Stage)</t>
        </is>
      </c>
      <c r="H47" s="16" t="inlineStr">
        <is>
          <t>Nicht offiziell ausgewiesen; typischerweise niedriger bis mittlerer einstelliger Millionenbereich mit Follow-on-Reserven (offizielle Angabe: n/a)</t>
        </is>
      </c>
      <c r="I47" s="16" t="inlineStr">
        <is>
          <t>-</t>
        </is>
      </c>
      <c r="J47" s="16" t="inlineStr">
        <is>
          <t>Paul-Josef Patt</t>
        </is>
      </c>
      <c r="K47" s="16" t="inlineStr">
        <is>
          <t>CEO / Managing Partner (weitere: Willi Mannheims und Dirk Seewald, Managing Partner)</t>
        </is>
      </c>
      <c r="L47" s="16" t="inlineStr">
        <is>
          <t>n/a</t>
        </is>
      </c>
      <c r="M47" s="16" t="inlineStr">
        <is>
          <t>Kontaktformular: https://ecapital.vc/contact/ ; Unternehmensprofil: https://www.linkedin.com/company/ecapital-entrepreneurial-partners/</t>
        </is>
      </c>
      <c r="N47" s="16" t="inlineStr">
        <is>
          <t>Über die Brighter-AI-Analogie einsteigen: PathWize löst die nächste Stufe derselben Kette - nicht nur Anonymisierung, sondern skalierbare Human-in-the-Loop-Annotation für europäische AI-Modelle.</t>
        </is>
      </c>
      <c r="O47" s="16" t="inlineStr">
        <is>
          <t>eCAPITAL hat mit Brighter AI und Apheris zwei Investments direkt an der Schnittstelle von Trainingsdaten, Datenschutz und ML - damit den konkretesten Data-Layer-Track-Record der Batch - und investiert in der passenden Seed-/Series-A-Phase mit über 400 Mio. EUR AUM.</t>
        </is>
      </c>
      <c r="P47" s="18" t="inlineStr">
        <is>
          <t>Offen</t>
        </is>
      </c>
      <c r="Q47" s="18" t="inlineStr"/>
      <c r="R47" s="19" t="inlineStr"/>
      <c r="S47" s="19" t="inlineStr"/>
      <c r="T47" s="18" t="inlineStr"/>
      <c r="U47" s="16" t="inlineStr"/>
      <c r="V47" s="16" t="inlineStr"/>
    </row>
    <row r="48">
      <c r="A48" s="12" t="n">
        <v>44</v>
      </c>
      <c r="B48" s="20" t="inlineStr">
        <is>
          <t>2</t>
        </is>
      </c>
      <c r="C48" s="14" t="inlineStr">
        <is>
          <t>Amadeus Capital Partners</t>
        </is>
      </c>
      <c r="D48" s="13" t="inlineStr">
        <is>
          <t>A</t>
        </is>
      </c>
      <c r="E48" s="13" t="n">
        <v>85</v>
      </c>
      <c r="F48" s="15" t="inlineStr">
        <is>
          <t>London / Cambridge</t>
        </is>
      </c>
      <c r="G48" s="16" t="inlineStr">
        <is>
          <t>Seed und Series A (Early Stage Fund)</t>
        </is>
      </c>
      <c r="H48" s="16" t="inlineStr">
        <is>
          <t>n/a - Seed-Erstickets im ein- bis niedrigen zweistelligen Mio.-Bereich (nicht oeffentlich beziffert)</t>
        </is>
      </c>
      <c r="I48" s="17" t="inlineStr">
        <is>
          <t>DIREKT: V7 – Wettbewerbskonflikt pruefen</t>
        </is>
      </c>
      <c r="J48" s="16" t="inlineStr">
        <is>
          <t>Pierre Socha</t>
        </is>
      </c>
      <c r="K48" s="16" t="inlineStr">
        <is>
          <t>Partner, Early Stage Fund - fuehrte das V7-Investment; Schwerpunkt inzwischen Health und Bio. Amelia Armour als weitere Early-Stage-Partnerin, Anne Glover als CEO/Mitgruenderin.</t>
        </is>
      </c>
      <c r="L48" s="16" t="inlineStr">
        <is>
          <t>n/a</t>
        </is>
      </c>
      <c r="M48" s="16" t="inlineStr">
        <is>
          <t>Kontaktformular auf amadeuscapital.com</t>
        </is>
      </c>
      <c r="N48" s="16" t="inlineStr">
        <is>
          <t>Mit der V7-Erfahrung als Aufhaenger arbeiten und zeigen, welchen Teil des Trainingsdaten-Marktes PathWize adressiert, den eine reine Computer-Vision-Annotationsplattform nicht abdeckt.</t>
        </is>
      </c>
      <c r="O48" s="16" t="inlineStr">
        <is>
          <t>Amadeus hat als einziger Fonds dieser Batch einen Trainingsdaten-Seed selbst angefuehrt (V7 Labs) und investiert weiterhin Seed bis Series A in AI/ML-Deep-Tech aus Europa.</t>
        </is>
      </c>
      <c r="P48" s="18" t="inlineStr">
        <is>
          <t>Offen</t>
        </is>
      </c>
      <c r="Q48" s="18" t="inlineStr"/>
      <c r="R48" s="19" t="inlineStr"/>
      <c r="S48" s="19" t="inlineStr"/>
      <c r="T48" s="18" t="inlineStr"/>
      <c r="U48" s="16" t="inlineStr"/>
      <c r="V48" s="16" t="inlineStr"/>
    </row>
    <row r="49">
      <c r="A49" s="12" t="n">
        <v>45</v>
      </c>
      <c r="B49" s="20" t="inlineStr">
        <is>
          <t>2</t>
        </is>
      </c>
      <c r="C49" s="14" t="inlineStr">
        <is>
          <t>another.vc</t>
        </is>
      </c>
      <c r="D49" s="13" t="inlineStr">
        <is>
          <t>A</t>
        </is>
      </c>
      <c r="E49" s="13" t="n">
        <v>85</v>
      </c>
      <c r="F49" s="15" t="inlineStr">
        <is>
          <t>Muelheim an der Ruhr</t>
        </is>
      </c>
      <c r="G49" s="16" t="inlineStr">
        <is>
          <t>Pre-Seed, Seed</t>
        </is>
      </c>
      <c r="H49" s="16" t="inlineStr">
        <is>
          <t>ca. 100.000 EUR Erstinvestment (Follow-ons moeglich)</t>
        </is>
      </c>
      <c r="I49" s="16" t="inlineStr">
        <is>
          <t>Data-Infra-nah</t>
        </is>
      </c>
      <c r="J49" s="16" t="inlineStr">
        <is>
          <t>Falk Haurenherm</t>
        </is>
      </c>
      <c r="K49" s="16" t="inlineStr">
        <is>
          <t>Co-Founder, Managing Director &amp; Partner (seit 2019, Partner seit 2022); zweiter Managing Director: Malte Scherff</t>
        </is>
      </c>
      <c r="L49" s="16" t="inlineStr">
        <is>
          <t>n/a</t>
        </is>
      </c>
      <c r="M49" s="16" t="inlineStr">
        <is>
          <t>Kontakt ueber Website https://www.another.vc/ (LinkedIn-Profile verlinkt); dedizierte Pitch-E-Mail n/a</t>
        </is>
      </c>
      <c r="N49" s="16" t="inlineStr">
        <is>
          <t>Ueber die Apheris-Analogie einsteigen: PathWize baut die Human-in-the-loop-Datenschicht, die deren These 'AI Applications brauchen branchenspezifische Daten' operativ ueberhaupt erst einloest.</t>
        </is>
      </c>
      <c r="O49" s="16" t="inlineStr">
        <is>
          <t>AI Applications ist eine der drei erklaerten Kernthesen und mit Apheris sowie Comstruct sind zwei echte Data-Infrastruktur-Investments belegt. Deutscher Pre-Seed-/Seed-Fonds - Stage, Geo und These passen praktisch vollstaendig.</t>
        </is>
      </c>
      <c r="P49" s="18" t="inlineStr">
        <is>
          <t>Offen</t>
        </is>
      </c>
      <c r="Q49" s="18" t="inlineStr"/>
      <c r="R49" s="19" t="inlineStr"/>
      <c r="S49" s="19" t="inlineStr"/>
      <c r="T49" s="18" t="inlineStr"/>
      <c r="U49" s="16" t="inlineStr"/>
      <c r="V49" s="16" t="inlineStr"/>
    </row>
    <row r="50">
      <c r="A50" s="12" t="n">
        <v>46</v>
      </c>
      <c r="B50" s="20" t="inlineStr">
        <is>
          <t>2</t>
        </is>
      </c>
      <c r="C50" s="14" t="inlineStr">
        <is>
          <t>Credo Ventures</t>
        </is>
      </c>
      <c r="D50" s="13" t="inlineStr">
        <is>
          <t>A</t>
        </is>
      </c>
      <c r="E50" s="13" t="n">
        <v>85</v>
      </c>
      <c r="F50" s="18" t="inlineStr">
        <is>
          <t>Prag</t>
        </is>
      </c>
      <c r="G50" s="16" t="inlineStr">
        <is>
          <t>Pre-Seed und Seed - von der Idee bis zum fruehen Product-Market-Fit</t>
        </is>
      </c>
      <c r="H50" s="16" t="inlineStr">
        <is>
          <t>n/a (Pre-Seed-/Seed-Tickets typisch 0,5-3 Mio. EUR)</t>
        </is>
      </c>
      <c r="I50" s="16" t="inlineStr">
        <is>
          <t>-</t>
        </is>
      </c>
      <c r="J50" s="16" t="inlineStr">
        <is>
          <t>Matej Micek</t>
        </is>
      </c>
      <c r="K50" s="16" t="inlineStr">
        <is>
          <t>Investmentteam / Partner mit Fokus Infrastructure, AI und Developer Tools</t>
        </is>
      </c>
      <c r="L50" s="16" t="inlineStr">
        <is>
          <t>n/a</t>
        </is>
      </c>
      <c r="M50" s="16" t="inlineStr">
        <is>
          <t>Kontakt ueber https://www.credoventures.com/; kein oeffentliches Pitch-Postfach belegbar</t>
        </is>
      </c>
      <c r="N50" s="16" t="inlineStr">
        <is>
          <t>Ueber das CEE-Delivery-Argument einsteigen: PathWize kombiniert deutschen Enterprise-Zugang mit kosteneffizienten mittel-/osteuropaeischen Annotationsteams - Credos Heimatregion.</t>
        </is>
      </c>
      <c r="O50" s="16" t="inlineStr">
        <is>
          <t>Frischer 88-Mio.-USD-Pre-Seed-Fonds mit expliziter AI-, Infrastruktur- und Dev-Tools-These, einem dedizierten Infra/AI-Investor im Team und dem ElevenLabs-Track-Record als Beleg fuer sehr fruehe AI-Konviktion.</t>
        </is>
      </c>
      <c r="P50" s="18" t="inlineStr">
        <is>
          <t>Offen</t>
        </is>
      </c>
      <c r="Q50" s="18" t="inlineStr"/>
      <c r="R50" s="19" t="inlineStr"/>
      <c r="S50" s="19" t="inlineStr"/>
      <c r="T50" s="18" t="inlineStr"/>
      <c r="U50" s="16" t="inlineStr"/>
      <c r="V50" s="16" t="inlineStr"/>
    </row>
    <row r="51">
      <c r="A51" s="12" t="n">
        <v>47</v>
      </c>
      <c r="B51" s="20" t="inlineStr">
        <is>
          <t>2</t>
        </is>
      </c>
      <c r="C51" s="14" t="inlineStr">
        <is>
          <t>EQT Ventures</t>
        </is>
      </c>
      <c r="D51" s="13" t="inlineStr">
        <is>
          <t>A</t>
        </is>
      </c>
      <c r="E51" s="13" t="n">
        <v>85</v>
      </c>
      <c r="F51" s="15" t="inlineStr">
        <is>
          <t>Stockholm (Büros u.a. Berlin, London, Paris, Amsterdam, New York)</t>
        </is>
      </c>
      <c r="G51" s="16" t="inlineStr">
        <is>
          <t>Early Stage als Lead-Investor - Seed, Series A und Series B</t>
        </is>
      </c>
      <c r="H51" s="16" t="inlineStr">
        <is>
          <t>ca. 2 bis 50 Mio. EUR</t>
        </is>
      </c>
      <c r="I51" s="16" t="inlineStr">
        <is>
          <t>Data-Infra-nah</t>
        </is>
      </c>
      <c r="J51" s="16" t="inlineStr">
        <is>
          <t>Ted Persson</t>
        </is>
      </c>
      <c r="K51" s="16" t="inlineStr">
        <is>
          <t>Partner, EQT Ventures (u.a. verantwortlich für europäische Software-/AI-Deals; weiterer relevanter Investor: Tom Mendoza)</t>
        </is>
      </c>
      <c r="L51" s="16" t="inlineStr">
        <is>
          <t>n/a</t>
        </is>
      </c>
      <c r="M51" s="16" t="inlineStr">
        <is>
          <t>Kontaktformular auf https://eqtgroup.com/private-capital/eqt-ventures ; Berliner Büro als DACH-Zugang; öffentliche Pitch-E-Mail: n/a</t>
        </is>
      </c>
      <c r="N51" s="16" t="inlineStr">
        <is>
          <t>Über das Berliner Team und die Motherbrain-Datenlogik ansprechen: PathWize liefert die Trainingsdaten-Grundlage, ohne die die AI-Portfoliounternehmen von EQT (Parloa, Sana, 1X) nicht skalieren.</t>
        </is>
      </c>
      <c r="O51" s="16" t="inlineStr">
        <is>
          <t>EQT Ventures ist ein europaweit führender Early-Stage-Lead-Investor mit klarer AI-These, 1,1 Mrd. EUR aktivem Fonds und einem Berliner Büro samt deutschen AI-Investments wie Parloa. Der Ticketkorridor ab 2 Mio. EUR passt zu einer ambitionierten Seed- oder Series-A-Runde.</t>
        </is>
      </c>
      <c r="P51" s="18" t="inlineStr">
        <is>
          <t>Offen</t>
        </is>
      </c>
      <c r="Q51" s="18" t="inlineStr"/>
      <c r="R51" s="19" t="inlineStr"/>
      <c r="S51" s="19" t="inlineStr"/>
      <c r="T51" s="18" t="inlineStr"/>
      <c r="U51" s="16" t="inlineStr"/>
      <c r="V51" s="16" t="inlineStr"/>
    </row>
    <row r="52">
      <c r="A52" s="12" t="n">
        <v>48</v>
      </c>
      <c r="B52" s="20" t="inlineStr">
        <is>
          <t>2</t>
        </is>
      </c>
      <c r="C52" s="14" t="inlineStr">
        <is>
          <t>Kaya VC</t>
        </is>
      </c>
      <c r="D52" s="13" t="inlineStr">
        <is>
          <t>A</t>
        </is>
      </c>
      <c r="E52" s="13" t="n">
        <v>85</v>
      </c>
      <c r="F52" s="18" t="inlineStr">
        <is>
          <t>Prag</t>
        </is>
      </c>
      <c r="G52" s="16" t="inlineStr">
        <is>
          <t>Pre-Seed bis Series A (Begleitung bis Growth)</t>
        </is>
      </c>
      <c r="H52" s="16" t="inlineStr">
        <is>
          <t>1-3 Mio. EUR initial, bis 20 Mio. EUR Follow-on</t>
        </is>
      </c>
      <c r="I52" s="16" t="inlineStr">
        <is>
          <t>-</t>
        </is>
      </c>
      <c r="J52" s="16" t="inlineStr">
        <is>
          <t>Tomas Obrtac</t>
        </is>
      </c>
      <c r="K52" s="16" t="inlineStr">
        <is>
          <t>General Partner; weitere GPs: Tomas Pacinda, Martin Rajcan, Karel Zheng; Pavel Mucha (Partner)</t>
        </is>
      </c>
      <c r="L52" s="16" t="inlineStr">
        <is>
          <t>n/a</t>
        </is>
      </c>
      <c r="M52" s="16" t="inlineStr">
        <is>
          <t>contact@kaya.vc; zusaetzlich Pitch-Typeform auf kaya.vc</t>
        </is>
      </c>
      <c r="N52" s="16" t="inlineStr">
        <is>
          <t>Ueber das Pitch-Typeform mit Superlinked-/e2b-Referenz: PathWize als fehlendes Trainingsdaten-Stueck in Kayas AI-Infrastruktur-Portfolio, mit Betonung eines osteuropaeischen Delivery-/Labeling-Netzwerks.</t>
        </is>
      </c>
      <c r="O52" s="16" t="inlineStr">
        <is>
          <t>Trotz generalistischer Aussendarstellung ist das faktische Portfolio (e2b, Superlinked, TopK, Better Stack) ein reines AI-/Dev-Infrastruktur-Buch, und Ticketgroesse von 1-3 Mio. EUR aus einem frischen 70-Mio.-EUR-Fonds passt fuer Seed.</t>
        </is>
      </c>
      <c r="P52" s="18" t="inlineStr">
        <is>
          <t>Offen</t>
        </is>
      </c>
      <c r="Q52" s="18" t="inlineStr"/>
      <c r="R52" s="19" t="inlineStr"/>
      <c r="S52" s="19" t="inlineStr"/>
      <c r="T52" s="18" t="inlineStr"/>
      <c r="U52" s="16" t="inlineStr"/>
      <c r="V52" s="16" t="inlineStr"/>
    </row>
    <row r="53">
      <c r="A53" s="12" t="n">
        <v>49</v>
      </c>
      <c r="B53" s="20" t="inlineStr">
        <is>
          <t>2</t>
        </is>
      </c>
      <c r="C53" s="14" t="inlineStr">
        <is>
          <t>OTB Ventures</t>
        </is>
      </c>
      <c r="D53" s="13" t="inlineStr">
        <is>
          <t>A</t>
        </is>
      </c>
      <c r="E53" s="13" t="n">
        <v>85</v>
      </c>
      <c r="F53" s="15" t="inlineStr">
        <is>
          <t>Amsterdam (Büros: Warschau, Luxemburg)</t>
        </is>
      </c>
      <c r="G53" s="16" t="inlineStr">
        <is>
          <t>Late Seed und Series A</t>
        </is>
      </c>
      <c r="H53" s="16" t="inlineStr">
        <is>
          <t>n/a</t>
        </is>
      </c>
      <c r="I53" s="16" t="inlineStr">
        <is>
          <t>-</t>
        </is>
      </c>
      <c r="J53" s="16" t="inlineStr">
        <is>
          <t>Marcin Hejka</t>
        </is>
      </c>
      <c r="K53" s="16" t="inlineStr">
        <is>
          <t>Co-Founder / General Partner (nicht in dieser Recherche über die Website verifiziert)</t>
        </is>
      </c>
      <c r="L53" s="16" t="inlineStr">
        <is>
          <t>n/a</t>
        </is>
      </c>
      <c r="M53" s="16" t="inlineStr">
        <is>
          <t>contact@otb.vc</t>
        </is>
      </c>
      <c r="N53" s="16" t="inlineStr">
        <is>
          <t>Direkte Mail an contact@otb.vc mit Apheris-Bezug: föderierte AI und europäische Datensouveränität brauchen eine vertrauenswürdige, EU-ansässige Annotationsschicht. PathWize als komplementärer Baustein zur These 'Enterprise AI &amp; Data' positionieren, mit klarem Fokus auf Automatisierungsanteil statt reiner Arbeitsleistung.</t>
        </is>
      </c>
      <c r="O53" s="16" t="inlineStr">
        <is>
          <t>Sehr präziser thematischer Treffer: 'Enterprise AI &amp; Data' als benannte Vertikale, mit Apheris ein Berliner AI-Dateninfrastruktur-Investment als Lead und mit Veridion ein Datenprodukt im Portfolio. Aktiver Deal-Flow (Expansion nach Luxemburg 2025) und Bereitschaft, Runden anzuführen. Deutschland ist über Apheris und Semron nachweislich Zielmarkt.</t>
        </is>
      </c>
      <c r="P53" s="18" t="inlineStr">
        <is>
          <t>Offen</t>
        </is>
      </c>
      <c r="Q53" s="18" t="inlineStr"/>
      <c r="R53" s="19" t="inlineStr"/>
      <c r="S53" s="19" t="inlineStr"/>
      <c r="T53" s="18" t="inlineStr"/>
      <c r="U53" s="16" t="inlineStr"/>
      <c r="V53" s="16" t="inlineStr"/>
    </row>
    <row r="54">
      <c r="A54" s="12" t="n">
        <v>50</v>
      </c>
      <c r="B54" s="20" t="inlineStr">
        <is>
          <t>2</t>
        </is>
      </c>
      <c r="C54" s="14" t="inlineStr">
        <is>
          <t>Redstone</t>
        </is>
      </c>
      <c r="D54" s="13" t="inlineStr">
        <is>
          <t>A</t>
        </is>
      </c>
      <c r="E54" s="13" t="n">
        <v>85</v>
      </c>
      <c r="F54" s="15" t="inlineStr">
        <is>
          <t>Berlin (zusätzlich Zürich und Helsinki)</t>
        </is>
      </c>
      <c r="G54" s="16" t="inlineStr">
        <is>
          <t>Pre-Seed, Seed, Series A — Schwerpunkt Seed in deutschen Startups</t>
        </is>
      </c>
      <c r="H54" s="16" t="inlineStr">
        <is>
          <t>n/a (keine offizielle Range publiziert)</t>
        </is>
      </c>
      <c r="I54" s="16" t="inlineStr">
        <is>
          <t>-</t>
        </is>
      </c>
      <c r="J54" s="16" t="inlineStr">
        <is>
          <t>Michael Brehm</t>
        </is>
      </c>
      <c r="K54" s="16" t="inlineStr">
        <is>
          <t>Founding Partner (parallel Gründer &amp; Geschäftsführer des Berliner AI-Startups i2x seit 2017) — inhaltlich nächster Ansprechpartner für AI-Themen</t>
        </is>
      </c>
      <c r="L54" s="16" t="inlineStr">
        <is>
          <t>https://www.linkedin.com/in/michaelbrehm</t>
        </is>
      </c>
      <c r="M54" s="16" t="inlineStr">
        <is>
          <t>Online-Pitch-Formular auf redstone.vc (Pitch Deck mit Geschäftsmodell und Marktchance); Warm Intro bevorzugt, aber nicht zwingend</t>
        </is>
      </c>
      <c r="N54" s="16" t="inlineStr">
        <is>
          <t>Über das Pitch-Formular einsteigen und Michael Brehm parallel als Operator-zu-Operator ansprechen: als i2x-Gründer kennt er die Kosten schlechter Trainingsdaten aus erster Hand.</t>
        </is>
      </c>
      <c r="O54" s="16" t="inlineStr">
        <is>
          <t>Redstone ist ein sehr aktiver deutscher Seed-Leadinvestor (19 Neuinvestments in den letzten 12 Monaten) mit AI als benannter DeepTech-Teilthese und einem Founding Partner, der selbst ein AI-Startup führt. Offenes Pitch-Formular senkt die Zugangshürde deutlich.</t>
        </is>
      </c>
      <c r="P54" s="18" t="inlineStr">
        <is>
          <t>Offen</t>
        </is>
      </c>
      <c r="Q54" s="18" t="inlineStr"/>
      <c r="R54" s="19" t="inlineStr"/>
      <c r="S54" s="19" t="inlineStr"/>
      <c r="T54" s="18" t="inlineStr"/>
      <c r="U54" s="16" t="inlineStr"/>
      <c r="V54" s="16" t="inlineStr"/>
    </row>
    <row r="55">
      <c r="A55" s="12" t="n">
        <v>51</v>
      </c>
      <c r="B55" s="20" t="inlineStr">
        <is>
          <t>2</t>
        </is>
      </c>
      <c r="C55" s="14" t="inlineStr">
        <is>
          <t>Target Partners</t>
        </is>
      </c>
      <c r="D55" s="13" t="inlineStr">
        <is>
          <t>A</t>
        </is>
      </c>
      <c r="E55" s="13" t="n">
        <v>85</v>
      </c>
      <c r="F55" s="15" t="inlineStr">
        <is>
          <t>Muenchen</t>
        </is>
      </c>
      <c r="G55" s="16" t="inlineStr">
        <is>
          <t>Early Stage (Seed und Series A); Eigenpositionierung 'Always early stage. In it for the long run.'</t>
        </is>
      </c>
      <c r="H55" s="16" t="inlineStr">
        <is>
          <t>n/a (nicht oeffentlich beziffert)</t>
        </is>
      </c>
      <c r="I55" s="16" t="inlineStr">
        <is>
          <t>Data-Infra-nah</t>
        </is>
      </c>
      <c r="J55" s="16" t="inlineStr">
        <is>
          <t>Berthold von Freyberg</t>
        </is>
      </c>
      <c r="K55" s="16" t="inlineStr">
        <is>
          <t>Partner und Mitgruender (weitere Partner: Johannes Landgraf, Michael Muennix, Jakob Herold; Mitgruender Kurt Mueller und Waldemar Jantz)</t>
        </is>
      </c>
      <c r="L55" s="16" t="inlineStr">
        <is>
          <t>n/a (Profilseite: https://www.targetpartners.de/people/kurt-mueller)</t>
        </is>
      </c>
      <c r="M55" s="16" t="inlineStr">
        <is>
          <t>start@targetpartners.de</t>
        </is>
      </c>
      <c r="N55" s="16" t="inlineStr">
        <is>
          <t>An den Data-Infra-Track-Record anknuepfen: 'Ihr habt ArangoDB und Swarm64 fruehphasig finanziert - PathWize baut die naechste Schicht darueber: die Trainingsdaten-Infrastruktur fuer europaeische AI-Teams.'</t>
        </is>
      </c>
      <c r="O55" s="16" t="inlineStr">
        <is>
          <t>Muenchner Early-Stage-Fonds mit dem staerksten Data-Infrastruktur-Track-Record der Batch (ArangoDB, Swarm64, Instana) und offener Pitch-Adresse; der einzige Schwachpunkt ist die unklare aktuelle Fondsgeneration.</t>
        </is>
      </c>
      <c r="P55" s="18" t="inlineStr">
        <is>
          <t>Offen</t>
        </is>
      </c>
      <c r="Q55" s="18" t="inlineStr"/>
      <c r="R55" s="19" t="inlineStr"/>
      <c r="S55" s="19" t="inlineStr"/>
      <c r="T55" s="18" t="inlineStr"/>
      <c r="U55" s="16" t="inlineStr"/>
      <c r="V55" s="16" t="inlineStr"/>
    </row>
    <row r="56">
      <c r="A56" s="12" t="n">
        <v>52</v>
      </c>
      <c r="B56" s="20" t="inlineStr">
        <is>
          <t>2</t>
        </is>
      </c>
      <c r="C56" s="14" t="inlineStr">
        <is>
          <t>First Momentum Ventures</t>
        </is>
      </c>
      <c r="D56" s="13" t="inlineStr">
        <is>
          <t>A</t>
        </is>
      </c>
      <c r="E56" s="13" t="n">
        <v>84</v>
      </c>
      <c r="F56" s="15" t="inlineStr">
        <is>
          <t>Karlsruhe (pan-europaeisch taetig)</t>
        </is>
      </c>
      <c r="G56" s="16" t="inlineStr">
        <is>
          <t>Pre-Seed (erster institutioneller Check)</t>
        </is>
      </c>
      <c r="H56" s="16" t="inlineStr">
        <is>
          <t>250 Tsd. - 1,5 Mio. EUR</t>
        </is>
      </c>
      <c r="I56" s="16" t="inlineStr">
        <is>
          <t>-</t>
        </is>
      </c>
      <c r="J56" s="16" t="inlineStr">
        <is>
          <t>Andreas Fischer</t>
        </is>
      </c>
      <c r="K56" s="16" t="inlineStr">
        <is>
          <t>Founding Partner; weitere: Sebastian Boehmer (Founding Partner), Maximilian Ochs (Principal), Christian Neumann (Principal)</t>
        </is>
      </c>
      <c r="L56" s="16" t="inlineStr">
        <is>
          <t>n/a</t>
        </is>
      </c>
      <c r="M56" s="16" t="inlineStr">
        <is>
          <t>info@firstmomentum.vc</t>
        </is>
      </c>
      <c r="N56" s="16" t="inlineStr">
        <is>
          <t>Direkt an info@firstmomentum.vc mit technischem Pitch: PathWize als Software-Infrastruktur-Play - Labeling-Pipeline mit Automatisierungsgrad und Qualitaetsmetriken, nicht als Dienstleistungsgeschaeft.</t>
        </is>
      </c>
      <c r="O56" s="16" t="inlineStr">
        <is>
          <t>Deutscher Pre-Seed-Lead mit frischem 35-Mio.-EUR-Fonds, der AI/ML und Software-Infrastruktur explizit als Investitionsfelder ausweist und ausdruecklich technische Gruender adressiert ('we speak your language') - Stage, Geo und Ticketgroesse passen exakt.</t>
        </is>
      </c>
      <c r="P56" s="18" t="inlineStr">
        <is>
          <t>Offen</t>
        </is>
      </c>
      <c r="Q56" s="18" t="inlineStr"/>
      <c r="R56" s="19" t="inlineStr"/>
      <c r="S56" s="19" t="inlineStr"/>
      <c r="T56" s="18" t="inlineStr"/>
      <c r="U56" s="16" t="inlineStr"/>
      <c r="V56" s="16" t="inlineStr"/>
    </row>
    <row r="57">
      <c r="A57" s="12" t="n">
        <v>53</v>
      </c>
      <c r="B57" s="20" t="inlineStr">
        <is>
          <t>2</t>
        </is>
      </c>
      <c r="C57" s="14" t="inlineStr">
        <is>
          <t>Coparion</t>
        </is>
      </c>
      <c r="D57" s="13" t="inlineStr">
        <is>
          <t>A</t>
        </is>
      </c>
      <c r="E57" s="13" t="n">
        <v>83</v>
      </c>
      <c r="F57" s="15" t="inlineStr">
        <is>
          <t>Koeln (zusaetzlich Berlin)</t>
        </is>
      </c>
      <c r="G57" s="16" t="inlineStr">
        <is>
          <t>Seed, Series A, Series B</t>
        </is>
      </c>
      <c r="H57" s="16" t="inlineStr">
        <is>
          <t>0,5 - 8 Mio. EUR pro Runde, bis 15 Mio. EUR pro Unternehmen kumuliert</t>
        </is>
      </c>
      <c r="I57" s="17" t="inlineStr">
        <is>
          <t>DIREKT: Cloudfactory, Hasty – Wettbewerbskonflikt pruefen</t>
        </is>
      </c>
      <c r="J57" s="16" t="inlineStr">
        <is>
          <t>Christian Schulte</t>
        </is>
      </c>
      <c r="K57" s="16" t="inlineStr">
        <is>
          <t>Geschaeftsfuehrer / Managing Director</t>
        </is>
      </c>
      <c r="L57" s="16" t="inlineStr">
        <is>
          <t>n/a</t>
        </is>
      </c>
      <c r="M57" s="16" t="inlineStr">
        <is>
          <t>info@coparion.vc, Tel. +49 30 58 58 44 00, Kontaktformular auf coparion.vc</t>
        </is>
      </c>
      <c r="N57" s="16" t="inlineStr">
        <is>
          <t>Direkt an das Hasty.ai-Investment anknuepfen und PathWize als naechste Generation deutscher Annotation-Infrastruktur positionieren - mit einem bereits gesicherten privaten Lead-Investor im Gepaeck.</t>
        </is>
      </c>
      <c r="O57" s="16" t="inlineStr">
        <is>
          <t>Coparion ist der einzige VC dieser Batch mit einem direkten Data-Annotation-Investment (Hasty.ai, Berlin, Exit an CloudFactory) und deckt mit 275 Mio. EUR und Tickets von 0,5 - 8 Mio. EUR genau die Seed- bis Series-A-Spanne von PathWize ab.</t>
        </is>
      </c>
      <c r="P57" s="18" t="inlineStr">
        <is>
          <t>Offen</t>
        </is>
      </c>
      <c r="Q57" s="18" t="inlineStr"/>
      <c r="R57" s="19" t="inlineStr"/>
      <c r="S57" s="19" t="inlineStr"/>
      <c r="T57" s="18" t="inlineStr"/>
      <c r="U57" s="16" t="inlineStr"/>
      <c r="V57" s="16" t="inlineStr"/>
    </row>
    <row r="58">
      <c r="A58" s="12" t="n">
        <v>54</v>
      </c>
      <c r="B58" s="20" t="inlineStr">
        <is>
          <t>2</t>
        </is>
      </c>
      <c r="C58" s="14" t="inlineStr">
        <is>
          <t>Creandum</t>
        </is>
      </c>
      <c r="D58" s="13" t="inlineStr">
        <is>
          <t>A</t>
        </is>
      </c>
      <c r="E58" s="13" t="n">
        <v>83</v>
      </c>
      <c r="F58" s="15" t="inlineStr">
        <is>
          <t>Stockholm (+ Berlin, London, San Francisco)</t>
        </is>
      </c>
      <c r="G58" s="16" t="inlineStr">
        <is>
          <t>Seed und Series A, 'before it's obvious'</t>
        </is>
      </c>
      <c r="H58" s="16" t="inlineStr">
        <is>
          <t>n/a (Seed-/Series-A-Leadtickets typisch 2-15 Mio. USD)</t>
        </is>
      </c>
      <c r="I58" s="16" t="inlineStr">
        <is>
          <t>Data-Infra-nah</t>
        </is>
      </c>
      <c r="J58" s="16" t="inlineStr">
        <is>
          <t>Peter Specht</t>
        </is>
      </c>
      <c r="K58" s="16" t="inlineStr">
        <is>
          <t>General Partner (London; explizit AI-Fokus auf Infrastruktur- und Applikationsebene, baute den DACH-Hub in Berlin mit auf)</t>
        </is>
      </c>
      <c r="L58" s="16" t="inlineStr">
        <is>
          <t>n/a (Profilseite: https://creandum.com/team/peter-specht/)</t>
        </is>
      </c>
      <c r="M58" s="16" t="inlineStr">
        <is>
          <t>Kontakt ueber https://creandum.com/; Berliner Investment-Team vor Ort (Simon Schmincke, GP)</t>
        </is>
      </c>
      <c r="N58" s="16" t="inlineStr">
        <is>
          <t>Peter Specht direkt mit der Infrastruktur-These ansprechen: PathWize ist die Datenqualitaetsschicht des AI-Stacks, nicht ein Outsourcing-Dienstleister.</t>
        </is>
      </c>
      <c r="O58" s="16" t="inlineStr">
        <is>
          <t>500-Mio.-EUR-Fonds im aktiven Deployment mit eigenem Infrastructure-Vertical, einem GP mit erklaertem AI-Infrastruktur-Fokus und einem etablierten Berliner Team fuer DACH-Deals.</t>
        </is>
      </c>
      <c r="P58" s="18" t="inlineStr">
        <is>
          <t>Offen</t>
        </is>
      </c>
      <c r="Q58" s="18" t="inlineStr"/>
      <c r="R58" s="19" t="inlineStr"/>
      <c r="S58" s="19" t="inlineStr"/>
      <c r="T58" s="18" t="inlineStr"/>
      <c r="U58" s="16" t="inlineStr"/>
      <c r="V58" s="16" t="inlineStr"/>
    </row>
    <row r="59">
      <c r="A59" s="12" t="n">
        <v>55</v>
      </c>
      <c r="B59" s="20" t="inlineStr">
        <is>
          <t>2</t>
        </is>
      </c>
      <c r="C59" s="14" t="inlineStr">
        <is>
          <t>Dawn Capital</t>
        </is>
      </c>
      <c r="D59" s="13" t="inlineStr">
        <is>
          <t>A</t>
        </is>
      </c>
      <c r="E59" s="13" t="n">
        <v>83</v>
      </c>
      <c r="F59" s="15" t="inlineStr">
        <is>
          <t>London</t>
        </is>
      </c>
      <c r="G59" s="16" t="inlineStr">
        <is>
          <t>Series A und Series B (selektiv später Seed), plus Opportunities-Fonds für Folgerunden</t>
        </is>
      </c>
      <c r="H59" s="16" t="inlineStr">
        <is>
          <t>n/a (typisch mittlerer bis hoher einstelliger bis niedriger zweistelliger Mio.-USD-Bereich in Series A/B)</t>
        </is>
      </c>
      <c r="I59" s="16" t="inlineStr">
        <is>
          <t>-</t>
        </is>
      </c>
      <c r="J59" s="16" t="inlineStr">
        <is>
          <t>Evgenia Plotnikova</t>
        </is>
      </c>
      <c r="K59" s="16" t="inlineStr">
        <is>
          <t>General Partner (Fokus Enterprise-Software/Data; nicht in dieser Recherche über die Website verifiziert)</t>
        </is>
      </c>
      <c r="L59" s="16" t="inlineStr">
        <is>
          <t>n/a</t>
        </is>
      </c>
      <c r="M59" s="16" t="inlineStr">
        <is>
          <t>hello@dawncapital.com</t>
        </is>
      </c>
      <c r="N59" s="16" t="inlineStr">
        <is>
          <t>Als Series-A-Ziel jetzt aufbauen und bis zur Runde warmhalten. Positionierung als 'Datenqualitätsschicht für Enterprise AI' anschlussfähig an Dataiku und Collibra formulieren; konkret zeigen, wie PathWize-Labeling die Modellgüte bei Dawn-Portfoliofirmen verbessern würde (Runware, Dataiku als Referenzlogik).</t>
        </is>
      </c>
      <c r="O59" s="16" t="inlineStr">
        <is>
          <t>Thematisch nahezu ideal: reiner B2B-Fonds mit belegter Historie in Daten- und AI-Plattformen (Dataiku, Runware) und Data-Governance. Investiert europaweit inklusive DACH und führt Runden an. Einzige Einschränkung ist die Stage: Dawn steigt typischerweise ab Series A ein, Pre-Seed ist praktisch ausgeschlossen.</t>
        </is>
      </c>
      <c r="P59" s="18" t="inlineStr">
        <is>
          <t>Offen</t>
        </is>
      </c>
      <c r="Q59" s="18" t="inlineStr"/>
      <c r="R59" s="19" t="inlineStr"/>
      <c r="S59" s="19" t="inlineStr"/>
      <c r="T59" s="18" t="inlineStr"/>
      <c r="U59" s="16" t="inlineStr"/>
      <c r="V59" s="16" t="inlineStr"/>
    </row>
    <row r="60">
      <c r="A60" s="12" t="n">
        <v>56</v>
      </c>
      <c r="B60" s="20" t="inlineStr">
        <is>
          <t>2</t>
        </is>
      </c>
      <c r="C60" s="14" t="inlineStr">
        <is>
          <t>Alven</t>
        </is>
      </c>
      <c r="D60" s="13" t="inlineStr">
        <is>
          <t>A</t>
        </is>
      </c>
      <c r="E60" s="13" t="n">
        <v>82</v>
      </c>
      <c r="F60" s="18" t="inlineStr">
        <is>
          <t>Paris</t>
        </is>
      </c>
      <c r="G60" s="16" t="inlineStr">
        <is>
          <t>Seed und Series A (Early Stage)</t>
        </is>
      </c>
      <c r="H60" s="16" t="inlineStr">
        <is>
          <t>n/a (Website weist keine Spanne aus)</t>
        </is>
      </c>
      <c r="I60" s="16" t="inlineStr">
        <is>
          <t>-</t>
        </is>
      </c>
      <c r="J60" s="16" t="inlineStr">
        <is>
          <t>Charles Letourneur</t>
        </is>
      </c>
      <c r="K60" s="16" t="inlineStr">
        <is>
          <t>Founding Partner (nicht in dieser Recherche über die Website verifiziert)</t>
        </is>
      </c>
      <c r="L60" s="16" t="inlineStr">
        <is>
          <t>n/a</t>
        </is>
      </c>
      <c r="M60" s="16" t="inlineStr">
        <is>
          <t>contact@alven.co</t>
        </is>
      </c>
      <c r="N60" s="16" t="inlineStr">
        <is>
          <t>Direkt per E-Mail (contact@alven.co) mit Dataiku-Analogie: PathWize als vorgelagerte Datenqualitätsschicht zu Plattformen wie Dataiku. Französische Foundation-Model- und AI-Szene (Mistral-Umfeld) als potenzielle Kundenbasis konkret benennen, um den Frankreich-Bezug herzustellen.</t>
        </is>
      </c>
      <c r="O60" s="16" t="inlineStr">
        <is>
          <t>Exzellenter thematischer Fit über Dataiku und Algolia: Alven kennt Daten- und Infrastrukturprodukte in der Frühphase und investiert genau in den Stages Seed/Series A, die PathWize sucht.</t>
        </is>
      </c>
      <c r="P60" s="18" t="inlineStr">
        <is>
          <t>Offen</t>
        </is>
      </c>
      <c r="Q60" s="18" t="inlineStr"/>
      <c r="R60" s="19" t="inlineStr"/>
      <c r="S60" s="19" t="inlineStr"/>
      <c r="T60" s="18" t="inlineStr"/>
      <c r="U60" s="16" t="inlineStr"/>
      <c r="V60" s="16" t="inlineStr"/>
    </row>
    <row r="61">
      <c r="A61" s="12" t="n">
        <v>57</v>
      </c>
      <c r="B61" s="20" t="inlineStr">
        <is>
          <t>2</t>
        </is>
      </c>
      <c r="C61" s="14" t="inlineStr">
        <is>
          <t>Futury Capital</t>
        </is>
      </c>
      <c r="D61" s="13" t="inlineStr">
        <is>
          <t>A</t>
        </is>
      </c>
      <c r="E61" s="13" t="n">
        <v>82</v>
      </c>
      <c r="F61" s="15" t="inlineStr">
        <is>
          <t>Frankfurt am Main</t>
        </is>
      </c>
      <c r="G61" s="16" t="inlineStr">
        <is>
          <t>Seed und Series A, selektiv bis Growth über einen zweiten Fonds</t>
        </is>
      </c>
      <c r="H61" s="16" t="inlineStr">
        <is>
          <t>ca. 500 Tsd. bis 8 Mio. EUR durchschnittliche Checkgröße</t>
        </is>
      </c>
      <c r="I61" s="16" t="inlineStr">
        <is>
          <t>-</t>
        </is>
      </c>
      <c r="J61" s="16" t="inlineStr">
        <is>
          <t>n/a (siebenköpfiges Kernteam; Zuordnung einzelner Partner zum Feld Data &amp; AI auf der Website nicht ausgewiesen)</t>
        </is>
      </c>
      <c r="K61" s="16" t="inlineStr">
        <is>
          <t>n/a</t>
        </is>
      </c>
      <c r="L61" s="16" t="inlineStr">
        <is>
          <t>n/a</t>
        </is>
      </c>
      <c r="M61" s="16" t="inlineStr">
        <is>
          <t>info@futurycapital.vc ; Paul-Ehrlich-Str. 51, 60596 Frankfurt am Main</t>
        </is>
      </c>
      <c r="N61" s="16" t="inlineStr">
        <is>
          <t>Direkt an info@futurycapital.vc mit Bezug auf das Fokusfeld 'Data &amp; AI' und den Industrial-ML-Case Tvarit: PathWize liefert die Human-in-the-Loop-Trainingsdaten, die genau diese Portfolio-These skalierbar macht.</t>
        </is>
      </c>
      <c r="O61" s="16" t="inlineStr">
        <is>
          <t>Futury Capital führt 'Data &amp; AI' als eines von nur vier offiziellen Fokusfeldern, investiert in Seed und Series A mit passenden Checks von 500 Tsd. bis 8 Mio. EUR und hat mit Tvarit und PROCURE AI belegte AI-Investments in Deutschland.</t>
        </is>
      </c>
      <c r="P61" s="18" t="inlineStr">
        <is>
          <t>Offen</t>
        </is>
      </c>
      <c r="Q61" s="18" t="inlineStr"/>
      <c r="R61" s="19" t="inlineStr"/>
      <c r="S61" s="19" t="inlineStr"/>
      <c r="T61" s="18" t="inlineStr"/>
      <c r="U61" s="16" t="inlineStr"/>
      <c r="V61" s="16" t="inlineStr"/>
    </row>
    <row r="62">
      <c r="A62" s="12" t="n">
        <v>58</v>
      </c>
      <c r="B62" s="20" t="inlineStr">
        <is>
          <t>2</t>
        </is>
      </c>
      <c r="C62" s="14" t="inlineStr">
        <is>
          <t>LBBW Venture Capital</t>
        </is>
      </c>
      <c r="D62" s="13" t="inlineStr">
        <is>
          <t>A</t>
        </is>
      </c>
      <c r="E62" s="13" t="n">
        <v>82</v>
      </c>
      <c r="F62" s="15" t="inlineStr">
        <is>
          <t>Stuttgart (Koenigstrasse 10 C, 70173)</t>
        </is>
      </c>
      <c r="G62" s="16" t="inlineStr">
        <is>
          <t>Seed und Series A</t>
        </is>
      </c>
      <c r="H62" s="16" t="inlineStr">
        <is>
          <t>Erstticket bis zu 3 Mio. EUR</t>
        </is>
      </c>
      <c r="I62" s="16" t="inlineStr">
        <is>
          <t>Data-Infra-nah</t>
        </is>
      </c>
      <c r="J62" s="16" t="inlineStr">
        <is>
          <t>n/a (Tech-Team, Namen nicht auf der Website belegt)</t>
        </is>
      </c>
      <c r="K62" s="16" t="inlineStr">
        <is>
          <t>n/a</t>
        </is>
      </c>
      <c r="L62" s="16" t="inlineStr">
        <is>
          <t>n/a</t>
        </is>
      </c>
      <c r="M62" s="16" t="inlineStr">
        <is>
          <t>future@lbbwvc.de</t>
        </is>
      </c>
      <c r="N62" s="16" t="inlineStr">
        <is>
          <t>Direkte E-Mail an future@lbbwvc.de mit dem Industrie-4.0-Winkel: PathWize liefert annotierte Sensor- und Bilddaten fuer die Fertigungs- und Mittelstandskunden im LBBW-Umfeld.</t>
        </is>
      </c>
      <c r="O62" s="16" t="inlineStr">
        <is>
          <t>Seed-bis-Series-A-Mandat mit bis zu 3 Mio. EUR Erstticket und einer woertlich AI/ML-, Big-Data- und Analytics-basierten These im DACH-Raum - dazu ein direkt nutzbarer E-Mail-Kanal.</t>
        </is>
      </c>
      <c r="P62" s="18" t="inlineStr">
        <is>
          <t>Offen</t>
        </is>
      </c>
      <c r="Q62" s="18" t="inlineStr"/>
      <c r="R62" s="19" t="inlineStr"/>
      <c r="S62" s="19" t="inlineStr"/>
      <c r="T62" s="18" t="inlineStr"/>
      <c r="U62" s="16" t="inlineStr"/>
      <c r="V62" s="16" t="inlineStr"/>
    </row>
    <row r="63">
      <c r="A63" s="12" t="n">
        <v>59</v>
      </c>
      <c r="B63" s="20" t="inlineStr">
        <is>
          <t>2</t>
        </is>
      </c>
      <c r="C63" s="14" t="inlineStr">
        <is>
          <t>Project A Ventures</t>
        </is>
      </c>
      <c r="D63" s="13" t="inlineStr">
        <is>
          <t>A</t>
        </is>
      </c>
      <c r="E63" s="13" t="n">
        <v>82</v>
      </c>
      <c r="F63" s="15" t="inlineStr">
        <is>
          <t>Berlin (+ London)</t>
        </is>
      </c>
      <c r="G63" s="16" t="inlineStr">
        <is>
          <t>Pre-Seed und Seed, 15-20 Deals pro Jahr</t>
        </is>
      </c>
      <c r="H63" s="16" t="inlineStr">
        <is>
          <t>1 - 6 Mio. EUR Erstinvestment (Angaben bis 8 Mio. EUR kursieren)</t>
        </is>
      </c>
      <c r="I63" s="16" t="inlineStr">
        <is>
          <t>-</t>
        </is>
      </c>
      <c r="J63" s="16" t="inlineStr">
        <is>
          <t>Uwe Horstmann</t>
        </is>
      </c>
      <c r="K63" s="16" t="inlineStr">
        <is>
          <t>General Partner &amp; Co-Founder (weitere: Florian Heinemann, Anton Waitz, Ben Fischer)</t>
        </is>
      </c>
      <c r="L63" s="16" t="inlineStr">
        <is>
          <t>n/a</t>
        </is>
      </c>
      <c r="M63" s="16" t="inlineStr">
        <is>
          <t>https://www.project-a.vc/contact; zusaetzlich Project A Studio fuer sehr fruehe Ideen</t>
        </is>
      </c>
      <c r="N63" s="16" t="inlineStr">
        <is>
          <t>Unter 'Future of Autonomous Work' framen: ohne saubere Human-in-the-loop-Trainingsdaten skaliert kein AI-Agent - PathWize ist die Qualitaetsschicht darunter.</t>
        </is>
      </c>
      <c r="O63" s="16" t="inlineStr">
        <is>
          <t>Perfekter Stage- und Geo-Fit: Berliner Pre-Seed/Seed-Lead mit frischem 325-Mio.-EUR-Fonds, 1-6 Mio. EUR Tickets und einer Operator-Plattform, die Data-Ops-Themen operativ versteht.</t>
        </is>
      </c>
      <c r="P63" s="18" t="inlineStr">
        <is>
          <t>Offen</t>
        </is>
      </c>
      <c r="Q63" s="18" t="inlineStr"/>
      <c r="R63" s="19" t="inlineStr"/>
      <c r="S63" s="19" t="inlineStr"/>
      <c r="T63" s="18" t="inlineStr"/>
      <c r="U63" s="16" t="inlineStr"/>
      <c r="V63" s="16" t="inlineStr"/>
    </row>
    <row r="64">
      <c r="A64" s="12" t="n">
        <v>60</v>
      </c>
      <c r="B64" s="20" t="inlineStr">
        <is>
          <t>2</t>
        </is>
      </c>
      <c r="C64" s="14" t="inlineStr">
        <is>
          <t>Smart Infrastructure Ventures GmbH</t>
        </is>
      </c>
      <c r="D64" s="13" t="inlineStr">
        <is>
          <t>A</t>
        </is>
      </c>
      <c r="E64" s="13" t="n">
        <v>82</v>
      </c>
      <c r="F64" s="15" t="inlineStr">
        <is>
          <t>Leipzig (Baumwollspinnerei)</t>
        </is>
      </c>
      <c r="G64" s="16" t="inlineStr">
        <is>
          <t>Pre-Seed und Seed</t>
        </is>
      </c>
      <c r="H64" s="16" t="inlineStr">
        <is>
          <t>bis EUR 500k Erstinvestment, Follow-on moeglich</t>
        </is>
      </c>
      <c r="I64" s="16" t="inlineStr">
        <is>
          <t>-</t>
        </is>
      </c>
      <c r="J64" s="16" t="inlineStr">
        <is>
          <t>Bjoern Bauermeister</t>
        </is>
      </c>
      <c r="K64" s="16" t="inlineStr">
        <is>
          <t>Co-Founder &amp; General Partner (zweiter Co-Founder &amp; General Partner: Dirk Daniel Frohnert)</t>
        </is>
      </c>
      <c r="L64" s="16" t="inlineStr">
        <is>
          <t>n/a (Crunchbase-Profil: https://www.crunchbase.com/person/bj%C3%B6rn-bauermeister)</t>
        </is>
      </c>
      <c r="M64" s="16" t="inlineStr">
        <is>
          <t>Kontakt ueber https://siventures.de/ ; Firmenmail-Schema @smartinfrastructure.ventures</t>
        </is>
      </c>
      <c r="N64" s="16" t="inlineStr">
        <is>
          <t>Auf die SIVentures-II-These 'KI und IT-Infrastruktur in DACH' referenzieren und PathWize als die Datenschicht positionieren, die Portfoliofaelle wie traide AI ueberhaupt erst trainierbar macht.</t>
        </is>
      </c>
      <c r="O64" s="16" t="inlineStr">
        <is>
          <t>SIVentures II wurde im August 2025 explizit fuer KI, IT-Infrastruktur und Energie im DACH-Raum aufgelegt, investiert Pre-Seed/Seed und hat frisches Dry Powder - thesenseitig eine der direktesten Passungen der Batch.</t>
        </is>
      </c>
      <c r="P64" s="18" t="inlineStr">
        <is>
          <t>Offen</t>
        </is>
      </c>
      <c r="Q64" s="18" t="inlineStr"/>
      <c r="R64" s="19" t="inlineStr"/>
      <c r="S64" s="19" t="inlineStr"/>
      <c r="T64" s="18" t="inlineStr"/>
      <c r="U64" s="16" t="inlineStr"/>
      <c r="V64" s="16" t="inlineStr"/>
    </row>
    <row r="65">
      <c r="A65" s="12" t="n">
        <v>61</v>
      </c>
      <c r="B65" s="21" t="inlineStr">
        <is>
          <t>3</t>
        </is>
      </c>
      <c r="C65" s="14" t="inlineStr">
        <is>
          <t>xdeck</t>
        </is>
      </c>
      <c r="D65" s="13" t="inlineStr">
        <is>
          <t>A</t>
        </is>
      </c>
      <c r="E65" s="13" t="n">
        <v>82</v>
      </c>
      <c r="F65" s="15" t="inlineStr">
        <is>
          <t>Koeln (THE SHIP)</t>
        </is>
      </c>
      <c r="G65" s="16" t="inlineStr">
        <is>
          <t>Pre-Seed und Seed (Wandeldarlehen oder priced rounds); Accelerator-Batches (Batch #14 Start Sept. 2026)</t>
        </is>
      </c>
      <c r="H65" s="16" t="inlineStr">
        <is>
          <t>200 Tsd. - 500 Tsd. EUR Erstinvestment</t>
        </is>
      </c>
      <c r="I65" s="16" t="inlineStr">
        <is>
          <t>-</t>
        </is>
      </c>
      <c r="J65" s="16" t="inlineStr">
        <is>
          <t>Oliver Steinki</t>
        </is>
      </c>
      <c r="K65" s="16" t="inlineStr">
        <is>
          <t>Founding Partner</t>
        </is>
      </c>
      <c r="L65" s="16" t="inlineStr">
        <is>
          <t>n/a</t>
        </is>
      </c>
      <c r="M65" s="16" t="inlineStr">
        <is>
          <t>hello@xdeck.de; Bewerbung ueber https://xdeck.ac/ (Accelerator-Batch), LinkedIn: linkedin.com/company/xdeck</t>
        </is>
      </c>
      <c r="N65" s="16" t="inlineStr">
        <is>
          <t>Ueber Kern AI positionieren: PathWize liefert die Human-in-the-loop-Labelingschicht, die data-centric-AI-Portfolios wie Kern AI und orq.ai operativ brauchen.</t>
        </is>
      </c>
      <c r="O65" s="16" t="inlineStr">
        <is>
          <t>'Applied Big Data / AI' und B2B-Prozessautomatisierung sind wortwoertlich die xdeck-These, und mit Kern AI sitzt bereits eine data-centric-AI-Company im Portfolio - passender Pre-Seed-Einstieg im deutschen Markt.</t>
        </is>
      </c>
      <c r="P65" s="18" t="inlineStr">
        <is>
          <t>Offen</t>
        </is>
      </c>
      <c r="Q65" s="18" t="inlineStr"/>
      <c r="R65" s="19" t="inlineStr"/>
      <c r="S65" s="19" t="inlineStr"/>
      <c r="T65" s="18" t="inlineStr"/>
      <c r="U65" s="16" t="inlineStr"/>
      <c r="V65" s="16" t="inlineStr"/>
    </row>
    <row r="66">
      <c r="A66" s="12" t="n">
        <v>62</v>
      </c>
      <c r="B66" s="21" t="inlineStr">
        <is>
          <t>3</t>
        </is>
      </c>
      <c r="C66" s="14" t="inlineStr">
        <is>
          <t>APEX Ventures</t>
        </is>
      </c>
      <c r="D66" s="13" t="inlineStr">
        <is>
          <t>A</t>
        </is>
      </c>
      <c r="E66" s="13" t="n">
        <v>81</v>
      </c>
      <c r="F66" s="18" t="inlineStr">
        <is>
          <t>Wien</t>
        </is>
      </c>
      <c r="G66" s="16" t="inlineStr">
        <is>
          <t>Seed &amp; Series A (fruehe Deep-Tech-Runden)</t>
        </is>
      </c>
      <c r="H66" s="16" t="inlineStr">
        <is>
          <t>1 bis 1,5 Mio. EUR im Amadeus-APEX-Fonds; ueber alle Vehikel 500 Tsd. bis 5 Mio. EUR</t>
        </is>
      </c>
      <c r="I66" s="16" t="inlineStr">
        <is>
          <t>-</t>
        </is>
      </c>
      <c r="J66" s="16" t="inlineStr">
        <is>
          <t>Andreas Riegler</t>
        </is>
      </c>
      <c r="K66" s="16" t="inlineStr">
        <is>
          <t>Founder &amp; General Partner (Schwerpunkt AI und Space Tech)</t>
        </is>
      </c>
      <c r="L66" s="16" t="inlineStr">
        <is>
          <t>https://at.linkedin.com/in/andreasriegler</t>
        </is>
      </c>
      <c r="M66" s="16" t="inlineStr">
        <is>
          <t>Kontaktformular auf https://www.apex.ventures/; LinkedIn https://www.linkedin.com/company/apex-vc</t>
        </is>
      </c>
      <c r="N66" s="16" t="inlineStr">
        <is>
          <t>Direkt ueber Mobius Labs und contextflow argumentieren: PathWize loest den Annotationsengpass, an dem genau diese Computer-Vision-Portfolio-Companies skalieren muessen.</t>
        </is>
      </c>
      <c r="O66" s="16" t="inlineStr">
        <is>
          <t>DACH-Deep-Tech-Fonds mit AI/ML und Computer Vision als expliziten Kernthemen und mit Mobius Labs, contextflow und ImageBiopsy Lab gleich drei annotationsabhaengigen Portfolio-Companies. Seed-/Series-A-Tickets von 1-1,5 Mio. EUR passen zur gesuchten Runde.</t>
        </is>
      </c>
      <c r="P66" s="18" t="inlineStr">
        <is>
          <t>Offen</t>
        </is>
      </c>
      <c r="Q66" s="18" t="inlineStr"/>
      <c r="R66" s="19" t="inlineStr"/>
      <c r="S66" s="19" t="inlineStr"/>
      <c r="T66" s="18" t="inlineStr"/>
      <c r="U66" s="16" t="inlineStr"/>
      <c r="V66" s="16" t="inlineStr"/>
    </row>
    <row r="67">
      <c r="A67" s="12" t="n">
        <v>63</v>
      </c>
      <c r="B67" s="21" t="inlineStr">
        <is>
          <t>3</t>
        </is>
      </c>
      <c r="C67" s="14" t="inlineStr">
        <is>
          <t>Concept Ventures</t>
        </is>
      </c>
      <c r="D67" s="13" t="inlineStr">
        <is>
          <t>A</t>
        </is>
      </c>
      <c r="E67" s="13" t="n">
        <v>81</v>
      </c>
      <c r="F67" s="15" t="inlineStr">
        <is>
          <t>London</t>
        </is>
      </c>
      <c r="G67" s="16" t="inlineStr">
        <is>
          <t>Ausschliesslich Pre-Seed - in der Regel der erste institutionelle Check</t>
        </is>
      </c>
      <c r="H67" s="16" t="inlineStr">
        <is>
          <t>durchschnittlich ca. 1 Mio. USD, bis 1,2 Mio. GBP</t>
        </is>
      </c>
      <c r="I67" s="16" t="inlineStr">
        <is>
          <t>-</t>
        </is>
      </c>
      <c r="J67" s="16" t="inlineStr">
        <is>
          <t>Oliver Kicks</t>
        </is>
      </c>
      <c r="K67" s="16" t="inlineStr">
        <is>
          <t>General Partner (Fokus AI, Marketplaces, Games; erster Mitarbeiter der Firma)</t>
        </is>
      </c>
      <c r="L67" s="16" t="inlineStr">
        <is>
          <t>n/a (Profil: https://signal.nfx.com/investors/oliver-kicks)</t>
        </is>
      </c>
      <c r="M67" s="16" t="inlineStr">
        <is>
          <t>Kontakt/Pitch ueber https://concept.vc/</t>
        </is>
      </c>
      <c r="N67" s="16" t="inlineStr">
        <is>
          <t>Als deutscher Pre-Seed-Testfall fuer das neue pan-europaeische Mandat positionieren, mit ElevenLabs als Beleg, dass Concept europaeische AI-Grundlagenwetten frueh trifft.</t>
        </is>
      </c>
      <c r="O67" s="16" t="inlineStr">
        <is>
          <t>Frischer 88-Mio.-USD-Pre-Seed-Fonds, der ueber 90 Prozent seiner Runden anfuehrt, AI als Kernthema nennt und Deutschland ausdruecklich ins pan-europaeische Mandat von Fund II aufgenommen hat.</t>
        </is>
      </c>
      <c r="P67" s="18" t="inlineStr">
        <is>
          <t>Offen</t>
        </is>
      </c>
      <c r="Q67" s="18" t="inlineStr"/>
      <c r="R67" s="19" t="inlineStr"/>
      <c r="S67" s="19" t="inlineStr"/>
      <c r="T67" s="18" t="inlineStr"/>
      <c r="U67" s="16" t="inlineStr"/>
      <c r="V67" s="16" t="inlineStr"/>
    </row>
    <row r="68">
      <c r="A68" s="12" t="n">
        <v>64</v>
      </c>
      <c r="B68" s="21" t="inlineStr">
        <is>
          <t>3</t>
        </is>
      </c>
      <c r="C68" s="14" t="inlineStr">
        <is>
          <t>Matterwave Ventures</t>
        </is>
      </c>
      <c r="D68" s="13" t="inlineStr">
        <is>
          <t>A</t>
        </is>
      </c>
      <c r="E68" s="13" t="n">
        <v>81</v>
      </c>
      <c r="F68" s="15" t="inlineStr">
        <is>
          <t>Muenchen</t>
        </is>
      </c>
      <c r="G68" s="16" t="inlineStr">
        <is>
          <t>Seed und Series A</t>
        </is>
      </c>
      <c r="H68" s="16" t="inlineStr">
        <is>
          <t>EUR 1-4 Mio. Initial-Ticket (aeltere Quellen: ab EUR 0,5 Mio.)</t>
        </is>
      </c>
      <c r="I68" s="16" t="inlineStr">
        <is>
          <t>-</t>
        </is>
      </c>
      <c r="J68" s="16" t="inlineStr">
        <is>
          <t>Benedikt Kronberger</t>
        </is>
      </c>
      <c r="K68" s="16" t="inlineStr">
        <is>
          <t>Founding Partner, Investmentfokus explizit Enterprise Software (Board u.a. bei Roseman Labs, Ninox, Testbirds, ToolSense, Visplore)</t>
        </is>
      </c>
      <c r="L68" s="16" t="inlineStr">
        <is>
          <t>n/a</t>
        </is>
      </c>
      <c r="M68" s="16" t="inlineStr">
        <is>
          <t>info@matterwave.vc, Pitch-Formular: https://www.matterwave.vc/pitch, Tel. +49 89 2867 3245</t>
        </is>
      </c>
      <c r="N68" s="16" t="inlineStr">
        <is>
          <t>PathWize als 'Trainingsdaten-Layer fuer Industrial AI' positionieren - direkt anschlussfaehig an Cybus (Data Layer) und die Computer-Vision-Bedarfe im Matterwave-Portfolio.</t>
        </is>
      </c>
      <c r="O68" s="16" t="inlineStr">
        <is>
          <t>Seed/Series-A-Lead-Investor aus Muenchen mit frischem Fonds II und einem Enterprise-Software-Partner, der bereits Data-Layer- und Privacy-Data-Companies (Cybus, Roseman Labs) im Board begleitet - PathWize passt als Data-Infrastruktur fuer industrielle AI.</t>
        </is>
      </c>
      <c r="P68" s="18" t="inlineStr">
        <is>
          <t>Offen</t>
        </is>
      </c>
      <c r="Q68" s="18" t="inlineStr"/>
      <c r="R68" s="19" t="inlineStr"/>
      <c r="S68" s="19" t="inlineStr"/>
      <c r="T68" s="18" t="inlineStr"/>
      <c r="U68" s="16" t="inlineStr"/>
      <c r="V68" s="16" t="inlineStr"/>
    </row>
    <row r="69">
      <c r="A69" s="12" t="n">
        <v>65</v>
      </c>
      <c r="B69" s="21" t="inlineStr">
        <is>
          <t>3</t>
        </is>
      </c>
      <c r="C69" s="14" t="inlineStr">
        <is>
          <t>Northzone</t>
        </is>
      </c>
      <c r="D69" s="13" t="inlineStr">
        <is>
          <t>A</t>
        </is>
      </c>
      <c r="E69" s="13" t="n">
        <v>81</v>
      </c>
      <c r="F69" s="15" t="inlineStr">
        <is>
          <t>London und Stockholm (weitere Büros: Berlin, Amsterdam, New York)</t>
        </is>
      </c>
      <c r="G69" s="16" t="inlineStr">
        <is>
          <t>Seed bis Growth</t>
        </is>
      </c>
      <c r="H69" s="16" t="inlineStr">
        <is>
          <t>n/a</t>
        </is>
      </c>
      <c r="I69" s="16" t="inlineStr">
        <is>
          <t>-</t>
        </is>
      </c>
      <c r="J69" s="16" t="inlineStr">
        <is>
          <t>Michiel Kotting</t>
        </is>
      </c>
      <c r="K69" s="16" t="inlineStr">
        <is>
          <t>Partner (Amsterdam/Europa, Fokus Enterprise-Software; nicht in dieser Recherche über die Website verifiziert)</t>
        </is>
      </c>
      <c r="L69" s="16" t="inlineStr">
        <is>
          <t>n/a</t>
        </is>
      </c>
      <c r="M69" s="16" t="inlineStr">
        <is>
          <t>Über Team-/Kontaktseite auf https://northzone.com/</t>
        </is>
      </c>
      <c r="N69" s="16" t="inlineStr">
        <is>
          <t>Über das Berliner Büro ansprechen. Konkreter Aufhänger: Black Forest Labs und microagi als Referenz-Use-Case für kuratierte, rechtssichere europäische Trainingsdaten; PathWize als Zulieferer für das eigene Portfolio positionieren.</t>
        </is>
      </c>
      <c r="O69" s="16" t="inlineStr">
        <is>
          <t>Sehr aktiver Multi-Stage-Fonds mit Berliner Büro (direkter DACH-Zugang), starkem und aktuellem AI-Portfolio inklusive des deutschen Foundation-Model-Anbieters Black Forest Labs. Kann von Seed bis Growth begleiten und führt Runden an.</t>
        </is>
      </c>
      <c r="P69" s="18" t="inlineStr">
        <is>
          <t>Offen</t>
        </is>
      </c>
      <c r="Q69" s="18" t="inlineStr"/>
      <c r="R69" s="19" t="inlineStr"/>
      <c r="S69" s="19" t="inlineStr"/>
      <c r="T69" s="18" t="inlineStr"/>
      <c r="U69" s="16" t="inlineStr"/>
      <c r="V69" s="16" t="inlineStr"/>
    </row>
    <row r="70">
      <c r="A70" s="12" t="n">
        <v>66</v>
      </c>
      <c r="B70" s="21" t="inlineStr">
        <is>
          <t>3</t>
        </is>
      </c>
      <c r="C70" s="14" t="inlineStr">
        <is>
          <t>Signals Venture Capital</t>
        </is>
      </c>
      <c r="D70" s="13" t="inlineStr">
        <is>
          <t>A</t>
        </is>
      </c>
      <c r="E70" s="13" t="n">
        <v>81</v>
      </c>
      <c r="F70" s="15" t="inlineStr">
        <is>
          <t>Berlin</t>
        </is>
      </c>
      <c r="G70" s="16" t="inlineStr">
        <is>
          <t>Seed und Series A (gelegentlich Series B Follow-on)</t>
        </is>
      </c>
      <c r="H70" s="16" t="inlineStr">
        <is>
          <t>1 - 5 Mio. EUR</t>
        </is>
      </c>
      <c r="I70" s="16" t="inlineStr">
        <is>
          <t>Data-Infra-nah</t>
        </is>
      </c>
      <c r="J70" s="16" t="inlineStr">
        <is>
          <t>Christian Weniger</t>
        </is>
      </c>
      <c r="K70" s="16" t="inlineStr">
        <is>
          <t>General Partner (zweiter GP: Dr. Daniel Kirchleitner)</t>
        </is>
      </c>
      <c r="L70" s="16" t="inlineStr">
        <is>
          <t>n/a (Firmenprofil: https://www.linkedin.com/company/signals-vc/)</t>
        </is>
      </c>
      <c r="M70" s="16" t="inlineStr">
        <is>
          <t>Kontaktformular auf signals.vc; LinkedIn linkedin.com/company/signals-vc</t>
        </is>
      </c>
      <c r="N70" s="16" t="inlineStr">
        <is>
          <t>Als B2B-Enterprise-Software-Case mit wiederkehrenden Umsaetzen pitchen und die Signal-Iduna-Naehe als Pilotkanal fuer Labeling in regulierten Versicherungs-/Finanzdaten nutzen.</t>
        </is>
      </c>
      <c r="O70" s="16" t="inlineStr">
        <is>
          <t>Die These deckt sich fast eins zu eins mit PathWize: Berliner Fonds, der explizit AI/ML und Enterprise Software mit 1-5 Mio. EUR im Seed und Series A finanziert.</t>
        </is>
      </c>
      <c r="P70" s="18" t="inlineStr">
        <is>
          <t>Offen</t>
        </is>
      </c>
      <c r="Q70" s="18" t="inlineStr"/>
      <c r="R70" s="19" t="inlineStr"/>
      <c r="S70" s="19" t="inlineStr"/>
      <c r="T70" s="18" t="inlineStr"/>
      <c r="U70" s="16" t="inlineStr"/>
      <c r="V70" s="16" t="inlineStr"/>
    </row>
    <row r="71">
      <c r="A71" s="12" t="n">
        <v>67</v>
      </c>
      <c r="B71" s="21" t="inlineStr">
        <is>
          <t>3</t>
        </is>
      </c>
      <c r="C71" s="14" t="inlineStr">
        <is>
          <t>IBB Ventures</t>
        </is>
      </c>
      <c r="D71" s="13" t="inlineStr">
        <is>
          <t>A</t>
        </is>
      </c>
      <c r="E71" s="13" t="n">
        <v>80</v>
      </c>
      <c r="F71" s="15" t="inlineStr">
        <is>
          <t>Berlin (Bundesallee 210, 10719)</t>
        </is>
      </c>
      <c r="G71" s="16" t="inlineStr">
        <is>
          <t>Pre-Seed, Seed, Series A; zusaetzlich Fast-Lane-Programm B# fuer DeepTech-Gruender</t>
        </is>
      </c>
      <c r="H71" s="16" t="inlineStr">
        <is>
          <t>n/a explizit; typische Erst-Tickets im mittleren sechsstelligen bis niedrigen siebenstelligen Bereich</t>
        </is>
      </c>
      <c r="I71" s="16" t="inlineStr">
        <is>
          <t>Data-Infra-nah</t>
        </is>
      </c>
      <c r="J71" s="16" t="inlineStr">
        <is>
          <t>n/a (Investment-Team auf der Website nicht namentlich gelistet)</t>
        </is>
      </c>
      <c r="K71" s="16" t="inlineStr">
        <is>
          <t>n/a</t>
        </is>
      </c>
      <c r="L71" s="16" t="inlineStr">
        <is>
          <t>n/a</t>
        </is>
      </c>
      <c r="M71" s="16" t="inlineStr">
        <is>
          <t>Bewerbung ueber "Get funded"-Portal auf ibbventures.de; zusaetzlich Office Hours via Typeform-Terminbuchung</t>
        </is>
      </c>
      <c r="N71" s="16" t="inlineStr">
        <is>
          <t>Office Hours buchen und PathWize als Human-in-the-loop-Ergaenzung zum bestehenden AI-Infra-Investment Qdrant positionieren - gleiche Kaeuferzielgruppe, komplementaerer Layer im Berliner AI-Stack.</t>
        </is>
      </c>
      <c r="O71" s="16" t="inlineStr">
        <is>
          <t>Einer der aktivsten Berliner Pre-Seed-/Seed-Investoren mit belegtem AI-Infrastruktur-Investment (Qdrant) und offenem, niedrigschwelligem Zugang ueber Office Hours - ideal fuer eine deutsche Pre-Seed-/Seed-Runde.</t>
        </is>
      </c>
      <c r="P71" s="18" t="inlineStr">
        <is>
          <t>Offen</t>
        </is>
      </c>
      <c r="Q71" s="18" t="inlineStr"/>
      <c r="R71" s="19" t="inlineStr"/>
      <c r="S71" s="19" t="inlineStr"/>
      <c r="T71" s="18" t="inlineStr"/>
      <c r="U71" s="16" t="inlineStr"/>
      <c r="V71" s="16" t="inlineStr"/>
    </row>
    <row r="72">
      <c r="A72" s="12" t="n">
        <v>68</v>
      </c>
      <c r="B72" s="21" t="inlineStr">
        <is>
          <t>3</t>
        </is>
      </c>
      <c r="C72" s="14" t="inlineStr">
        <is>
          <t>Moonfire Ventures</t>
        </is>
      </c>
      <c r="D72" s="13" t="inlineStr">
        <is>
          <t>A</t>
        </is>
      </c>
      <c r="E72" s="13" t="n">
        <v>79</v>
      </c>
      <c r="F72" s="15" t="inlineStr">
        <is>
          <t>London</t>
        </is>
      </c>
      <c r="G72" s="16" t="inlineStr">
        <is>
          <t>Pre-Seed und Seed</t>
        </is>
      </c>
      <c r="H72" s="16" t="inlineStr">
        <is>
          <t>n/a</t>
        </is>
      </c>
      <c r="I72" s="16" t="inlineStr">
        <is>
          <t>Data-Infra-nah</t>
        </is>
      </c>
      <c r="J72" s="16" t="inlineStr">
        <is>
          <t>Mattias Ljungman</t>
        </is>
      </c>
      <c r="K72" s="16" t="inlineStr">
        <is>
          <t>Founder / General Partner (Website-belegt als Teammitglied)</t>
        </is>
      </c>
      <c r="L72" s="16" t="inlineStr">
        <is>
          <t>n/a</t>
        </is>
      </c>
      <c r="M72" s="16" t="inlineStr">
        <is>
          <t>opportunities@moonfire.com</t>
        </is>
      </c>
      <c r="N72" s="16" t="inlineStr">
        <is>
          <t>Direkte Mail an opportunities@moonfire.com. Einordnung ausdrücklich unter 'Security, Infrastructure &amp; Tooling'. Da Moonfire selbst ML-Modelle baut, mit technischen Metriken argumentieren (Annotationsdurchsatz, Inter-Annotator-Agreement, Qualitäts-/Kostenkurve) statt mit Marktnarrativ.</t>
        </is>
      </c>
      <c r="O72" s="16" t="inlineStr">
        <is>
          <t>Genau die gesuchte Stage (Pre-Seed/Seed), explizite Infrastruktur- und Tooling-These, datengetriebener Investmentprozess und ein Portfolio mit echten Data-Tools (Lightdash). Öffentlich genannte E-Mail-Adresse für Inbound senkt die Kontakthürde deutlich.</t>
        </is>
      </c>
      <c r="P72" s="18" t="inlineStr">
        <is>
          <t>Offen</t>
        </is>
      </c>
      <c r="Q72" s="18" t="inlineStr"/>
      <c r="R72" s="19" t="inlineStr"/>
      <c r="S72" s="19" t="inlineStr"/>
      <c r="T72" s="18" t="inlineStr"/>
      <c r="U72" s="16" t="inlineStr"/>
      <c r="V72" s="16" t="inlineStr"/>
    </row>
    <row r="73">
      <c r="A73" s="12" t="n">
        <v>69</v>
      </c>
      <c r="B73" s="21" t="inlineStr">
        <is>
          <t>3</t>
        </is>
      </c>
      <c r="C73" s="14" t="inlineStr">
        <is>
          <t>Curiosity VC</t>
        </is>
      </c>
      <c r="D73" s="13" t="inlineStr">
        <is>
          <t>A</t>
        </is>
      </c>
      <c r="E73" s="13" t="n">
        <v>78</v>
      </c>
      <c r="F73" s="15" t="inlineStr">
        <is>
          <t>Amsterdam</t>
        </is>
      </c>
      <c r="G73" s="16" t="inlineStr">
        <is>
          <t>Pre-Seed und Seed (post-launch mit erster Kundentraktion)</t>
        </is>
      </c>
      <c r="H73" s="16" t="inlineStr">
        <is>
          <t>klein, typisch unter 1 Mio. EUR</t>
        </is>
      </c>
      <c r="I73" s="16" t="inlineStr">
        <is>
          <t>-</t>
        </is>
      </c>
      <c r="J73" s="16" t="inlineStr">
        <is>
          <t>Herman Kienhuis</t>
        </is>
      </c>
      <c r="K73" s="16" t="inlineStr">
        <is>
          <t>Co-Founder &amp; Managing Partner (zuvor KPN Ventures); Maurice Beckand Verwee (Co-Founder &amp; Partner)</t>
        </is>
      </c>
      <c r="L73" s="16" t="inlineStr">
        <is>
          <t>n/a</t>
        </is>
      </c>
      <c r="M73" s="16" t="inlineStr">
        <is>
          <t>hello@curiosityvc.com; Pitch-Formular: https://forms.gle/gxXFoejN7WSpSXmF8</t>
        </is>
      </c>
      <c r="N73" s="16" t="inlineStr">
        <is>
          <t>Ueber das oeffentliche Pitch-Formular mit MLOps-Framing: PathWize als Datenqualitaets-Layer unterhalb von Orq.ai und Deeploy, plus Hinweis auf Benelux-Kunden oder eine NL-Praesenz zur Geo-Passung.</t>
        </is>
      </c>
      <c r="O73" s="16" t="inlineStr">
        <is>
          <t>Die These trifft PathWize woertlich ('B2B software applying new data, ML and AI technologies') und mit Orq.ai sowie Deeploy liegen zwei MLOps-Investments direkt daneben - limitierend sind Fondsgroesse und der Geo-Zuschnitt.</t>
        </is>
      </c>
      <c r="P73" s="18" t="inlineStr">
        <is>
          <t>Offen</t>
        </is>
      </c>
      <c r="Q73" s="18" t="inlineStr"/>
      <c r="R73" s="19" t="inlineStr"/>
      <c r="S73" s="19" t="inlineStr"/>
      <c r="T73" s="18" t="inlineStr"/>
      <c r="U73" s="16" t="inlineStr"/>
      <c r="V73" s="16" t="inlineStr"/>
    </row>
    <row r="74">
      <c r="A74" s="12" t="n">
        <v>70</v>
      </c>
      <c r="B74" s="21" t="inlineStr">
        <is>
          <t>3</t>
        </is>
      </c>
      <c r="C74" s="14" t="inlineStr">
        <is>
          <t>Dieter von Holtzbrinck Ventures</t>
        </is>
      </c>
      <c r="D74" s="13" t="inlineStr">
        <is>
          <t>A</t>
        </is>
      </c>
      <c r="E74" s="13" t="n">
        <v>78</v>
      </c>
      <c r="F74" s="18" t="inlineStr">
        <is>
          <t>Köln</t>
        </is>
      </c>
      <c r="G74" s="16" t="inlineStr">
        <is>
          <t>Pre-Seed, Seed und Series A (Schwerpunkt Seed; laut Drittdaten 23 Seed-, 13 Series-A- und 2 Series-B-Investments)</t>
        </is>
      </c>
      <c r="H74" s="16" t="inlineStr">
        <is>
          <t>Nicht offiziell ausgewiesen; typische Beteiligung im niedrigen einstelligen Millionenbereich abgeleitet aus Rundengrößen (offizielle Angabe: n/a)</t>
        </is>
      </c>
      <c r="I74" s="16" t="inlineStr">
        <is>
          <t>-</t>
        </is>
      </c>
      <c r="J74" s="16" t="inlineStr">
        <is>
          <t>Fabian von Trotha</t>
        </is>
      </c>
      <c r="K74" s="16" t="inlineStr">
        <is>
          <t>Managing Partner (weitere Partner: Peter Richarz, Managing Partner; Duc Quyen Tran, Partner)</t>
        </is>
      </c>
      <c r="L74" s="16" t="inlineStr">
        <is>
          <t>n/a</t>
        </is>
      </c>
      <c r="M74" s="16" t="inlineStr">
        <is>
          <t>contact@dvhventures.de ; Pitch-Formular: https://dvhventures.typeform.com/to/UvfdLtrf ; Telefon +49 221 933 1610</t>
        </is>
      </c>
      <c r="N74" s="16" t="inlineStr">
        <is>
          <t>Über das Typeform pitchen und PathWize an das Deep-Tech-/AI-Cluster andocken, mit LiveEO als Referenzfall für den Wert hochwertig annotierter Trainingsdaten.</t>
        </is>
      </c>
      <c r="O74" s="16" t="inlineStr">
        <is>
          <t>DvH nennt B2B SaaS, Deep Tech und AI explizit als Fokus, investiert schwerpunktmäßig in deutsche Seed-Runden und stellt mit einem klar dokumentierten Pitch-Kanal einen niedrigschwelligen Zugang bereit. Das Media-for-Equity-Programm ist für ein Infrastruktur-B2B-Produkt allerdings nur begrenzt wertstiftend.</t>
        </is>
      </c>
      <c r="P74" s="18" t="inlineStr">
        <is>
          <t>Offen</t>
        </is>
      </c>
      <c r="Q74" s="18" t="inlineStr"/>
      <c r="R74" s="19" t="inlineStr"/>
      <c r="S74" s="19" t="inlineStr"/>
      <c r="T74" s="18" t="inlineStr"/>
      <c r="U74" s="16" t="inlineStr"/>
      <c r="V74" s="16" t="inlineStr"/>
    </row>
    <row r="75">
      <c r="A75" s="12" t="n">
        <v>71</v>
      </c>
      <c r="B75" s="21" t="inlineStr">
        <is>
          <t>3</t>
        </is>
      </c>
      <c r="C75" s="14" t="inlineStr">
        <is>
          <t>Interface Capital</t>
        </is>
      </c>
      <c r="D75" s="13" t="inlineStr">
        <is>
          <t>A</t>
        </is>
      </c>
      <c r="E75" s="13" t="n">
        <v>78</v>
      </c>
      <c r="F75" s="15" t="inlineStr">
        <is>
          <t>Berlin</t>
        </is>
      </c>
      <c r="G75" s="16" t="inlineStr">
        <is>
          <t>Pre-Seed &amp; Seed</t>
        </is>
      </c>
      <c r="H75" s="16" t="inlineStr">
        <is>
          <t>300 bis 500 Tsd. USD/EUR</t>
        </is>
      </c>
      <c r="I75" s="16" t="inlineStr">
        <is>
          <t>-</t>
        </is>
      </c>
      <c r="J75" s="16" t="inlineStr">
        <is>
          <t>Christian Reber</t>
        </is>
      </c>
      <c r="K75" s="16" t="inlineStr">
        <is>
          <t>Co-Founder &amp; Partner (Gruender Wunderlist, Pitch, Superlist); Co-Founder Niklas Jansen (Blinkist)</t>
        </is>
      </c>
      <c r="L75" s="16" t="inlineStr">
        <is>
          <t>https://de.linkedin.com/in/christianreber</t>
        </is>
      </c>
      <c r="M75" s="16" t="inlineStr">
        <is>
          <t>hello@interfacecap.com</t>
        </is>
      </c>
      <c r="N75" s="16" t="inlineStr">
        <is>
          <t>Ueber die Produktnaehe zu Browse AI und Paretos einsteigen und Interface als operativ mitarbeitenden Co-Investor neben einem groesseren Lead vorschlagen.</t>
        </is>
      </c>
      <c r="O75" s="16" t="inlineStr">
        <is>
          <t>Berliner Pre-Seed-Fonds mit klar AI-lastigem Portfolio (Browse AI, Lemni, Paretos) und Gruendern, die selbst AI-Produkte gebaut und in Synthesia/Writer investiert haben - inhaltlich sehr anschlussfaehig an Trainingsdaten. Der kleine 20-Mio.-Fonds mit 300-500k-Tickets kann eine Runde aber nicht allein tragen.</t>
        </is>
      </c>
      <c r="P75" s="18" t="inlineStr">
        <is>
          <t>Offen</t>
        </is>
      </c>
      <c r="Q75" s="18" t="inlineStr"/>
      <c r="R75" s="19" t="inlineStr"/>
      <c r="S75" s="19" t="inlineStr"/>
      <c r="T75" s="18" t="inlineStr"/>
      <c r="U75" s="16" t="inlineStr"/>
      <c r="V75" s="16" t="inlineStr"/>
    </row>
    <row r="76">
      <c r="A76" s="12" t="n">
        <v>72</v>
      </c>
      <c r="B76" s="21" t="inlineStr">
        <is>
          <t>3</t>
        </is>
      </c>
      <c r="C76" s="14" t="inlineStr">
        <is>
          <t>Singular</t>
        </is>
      </c>
      <c r="D76" s="13" t="inlineStr">
        <is>
          <t>A</t>
        </is>
      </c>
      <c r="E76" s="13" t="n">
        <v>78</v>
      </c>
      <c r="F76" s="18" t="inlineStr">
        <is>
          <t>Paris</t>
        </is>
      </c>
      <c r="G76" s="16" t="inlineStr">
        <is>
          <t>Seed bis Series B, Schwerpunkt Series A</t>
        </is>
      </c>
      <c r="H76" s="16" t="inlineStr">
        <is>
          <t>1 - 25 Mio. EUR (breite Spanne ueber die Stages)</t>
        </is>
      </c>
      <c r="I76" s="16" t="inlineStr">
        <is>
          <t>Data-Infra-nah</t>
        </is>
      </c>
      <c r="J76" s="16" t="inlineStr">
        <is>
          <t>Jeremy Uzan</t>
        </is>
      </c>
      <c r="K76" s="16" t="inlineStr">
        <is>
          <t>Co-Founder / General Partner (zweiter Co-Founder: Raffi Kamber)</t>
        </is>
      </c>
      <c r="L76" s="16" t="inlineStr">
        <is>
          <t>n/a</t>
        </is>
      </c>
      <c r="M76" s="16" t="inlineStr">
        <is>
          <t>Kontaktformular auf singular.vc; kein oeffentliches Pitch-Postfach belegbar</t>
        </is>
      </c>
      <c r="N76" s="16" t="inlineStr">
        <is>
          <t>Ueber Tinybird andocken: PathWize liefert die kuratierte Trainingsdatenschicht oberhalb der Realtime-Datenpipeline, mit demselben Infrastruktur-Playbook fuer Europa.</t>
        </is>
      </c>
      <c r="O76" s="16" t="inlineStr">
        <is>
          <t>400-Mio.-EUR-Fonds mit Series-A-Schwerpunkt und mit Tinybird einem belegten Data-Infrastructure-Lead; investiert pan-europaeisch in ueber zehn Laendern und damit auch im DACH-Raum.</t>
        </is>
      </c>
      <c r="P76" s="18" t="inlineStr">
        <is>
          <t>Offen</t>
        </is>
      </c>
      <c r="Q76" s="18" t="inlineStr"/>
      <c r="R76" s="19" t="inlineStr"/>
      <c r="S76" s="19" t="inlineStr"/>
      <c r="T76" s="18" t="inlineStr"/>
      <c r="U76" s="16" t="inlineStr"/>
      <c r="V76" s="16" t="inlineStr"/>
    </row>
    <row r="77">
      <c r="A77" s="12" t="n">
        <v>73</v>
      </c>
      <c r="B77" s="21" t="inlineStr">
        <is>
          <t>3</t>
        </is>
      </c>
      <c r="C77" s="14" t="inlineStr">
        <is>
          <t>Join Capital</t>
        </is>
      </c>
      <c r="D77" s="13" t="inlineStr">
        <is>
          <t>A</t>
        </is>
      </c>
      <c r="E77" s="13" t="n">
        <v>77</v>
      </c>
      <c r="F77" s="15" t="inlineStr">
        <is>
          <t>Berlin (+ London, Mailand)</t>
        </is>
      </c>
      <c r="G77" s="16" t="inlineStr">
        <is>
          <t>Pre-Seed bis Series A</t>
        </is>
      </c>
      <c r="H77" s="16" t="inlineStr">
        <is>
          <t>n/a (nicht oeffentlich; typisch 1-5 Mio. EUR im Seed)</t>
        </is>
      </c>
      <c r="I77" s="16" t="inlineStr">
        <is>
          <t>Data-Infra-nah</t>
        </is>
      </c>
      <c r="J77" s="16" t="inlineStr">
        <is>
          <t>Tobias P. Schirmer</t>
        </is>
      </c>
      <c r="K77" s="16" t="inlineStr">
        <is>
          <t>Managing Partner &amp; Co-Founder (weitere Co-Founder: Jan Borgstaedt, Sebastian v. Ribbentrop)</t>
        </is>
      </c>
      <c r="L77" s="16" t="inlineStr">
        <is>
          <t>n/a (Profil: https://signal.nfx.com/investors/tobias-p-schirmer)</t>
        </is>
      </c>
      <c r="M77" s="16" t="inlineStr">
        <is>
          <t>Kontakt ueber https://www.join.capital/; Berliner Buero</t>
        </is>
      </c>
      <c r="N77" s="16" t="inlineStr">
        <is>
          <t>Als Industrial-AI-Enabler pitchen: Labeling von Sensor-, Vision- und Fertigungsdaten inklusive Dual-Use-Faehigkeit fuer NATO-aligned Kunden.</t>
        </is>
      </c>
      <c r="O77" s="16" t="inlineStr">
        <is>
          <t>Berliner Pre-Seed-bis-Series-A-Lead mit 112-Mio.-EUR-Fonds im Deployment und sechs Neuinvestments in zwoelf Monaten; AI steht im Mandat, der Schwerpunkt liegt jedoch auf Industrial und Defence Tech.</t>
        </is>
      </c>
      <c r="P77" s="18" t="inlineStr">
        <is>
          <t>Offen</t>
        </is>
      </c>
      <c r="Q77" s="18" t="inlineStr"/>
      <c r="R77" s="19" t="inlineStr"/>
      <c r="S77" s="19" t="inlineStr"/>
      <c r="T77" s="18" t="inlineStr"/>
      <c r="U77" s="16" t="inlineStr"/>
      <c r="V77" s="16" t="inlineStr"/>
    </row>
    <row r="78">
      <c r="A78" s="12" t="n">
        <v>74</v>
      </c>
      <c r="B78" s="21" t="inlineStr">
        <is>
          <t>3</t>
        </is>
      </c>
      <c r="C78" s="14" t="inlineStr">
        <is>
          <t>Playfair Capital</t>
        </is>
      </c>
      <c r="D78" s="13" t="inlineStr">
        <is>
          <t>A</t>
        </is>
      </c>
      <c r="E78" s="13" t="n">
        <v>76</v>
      </c>
      <c r="F78" s="15" t="inlineStr">
        <is>
          <t>London</t>
        </is>
      </c>
      <c r="G78" s="16" t="inlineStr">
        <is>
          <t>Ausschließlich Pre-Seed (UK und Europa), mit Follow-on bis Series A</t>
        </is>
      </c>
      <c r="H78" s="16" t="inlineStr">
        <is>
          <t>100 TGBP - 1,5 Mio. GBP Erstticket; bis 5 Mio. GBP pro Unternehmen inklusive Follow-ons</t>
        </is>
      </c>
      <c r="I78" s="16" t="inlineStr">
        <is>
          <t>Data-Infra-nah</t>
        </is>
      </c>
      <c r="J78" s="16" t="inlineStr">
        <is>
          <t>Chris Smith</t>
        </is>
      </c>
      <c r="K78" s="16" t="inlineStr">
        <is>
          <t>Managing Partner (nicht in dieser Recherche über die Website verifiziert)</t>
        </is>
      </c>
      <c r="L78" s="16" t="inlineStr">
        <is>
          <t>n/a</t>
        </is>
      </c>
      <c r="M78" s="16" t="inlineStr">
        <is>
          <t>Pitch-Formular unter https://playfair.vc/pitch-us</t>
        </is>
      </c>
      <c r="N78" s="16" t="inlineStr">
        <is>
          <t>Direkte Bewerbung über das Pitch-Formular (Playfair ist ausdrücklich offen für Cold Inbound). Aufhänger: Recycleye als Beleg dafür, dass Playfair Datenannotationsabhängigkeit versteht - PathWize als Infrastruktur hinter genau solchen Vision-Startups positionieren.</t>
        </is>
      </c>
      <c r="O78" s="16" t="inlineStr">
        <is>
          <t>Perfekte Stage-Passung: einer der wenigen reinen Pre-Seed-Leads Europas mit ausgewiesen hoher Series-A-Graduierungsquote (78 %) und großzügigen Follow-on-Reserven. Deep-Tech-affin und mit Recycleye ein direkt annotationsabhängiges Computer-Vision-Investment.</t>
        </is>
      </c>
      <c r="P78" s="18" t="inlineStr">
        <is>
          <t>Offen</t>
        </is>
      </c>
      <c r="Q78" s="18" t="inlineStr"/>
      <c r="R78" s="19" t="inlineStr"/>
      <c r="S78" s="19" t="inlineStr"/>
      <c r="T78" s="18" t="inlineStr"/>
      <c r="U78" s="16" t="inlineStr"/>
      <c r="V78" s="16" t="inlineStr"/>
    </row>
    <row r="79">
      <c r="A79" s="12" t="n">
        <v>75</v>
      </c>
      <c r="B79" s="21" t="inlineStr">
        <is>
          <t>3</t>
        </is>
      </c>
      <c r="C79" s="14" t="inlineStr">
        <is>
          <t>WENVEST CAPITAL</t>
        </is>
      </c>
      <c r="D79" s="13" t="inlineStr">
        <is>
          <t>A</t>
        </is>
      </c>
      <c r="E79" s="13" t="n">
        <v>76</v>
      </c>
      <c r="F79" s="15" t="inlineStr">
        <is>
          <t>München</t>
        </is>
      </c>
      <c r="G79" s="16" t="inlineStr">
        <is>
          <t>Pre-Seed und Seed; opportunistisch Series A</t>
        </is>
      </c>
      <c r="H79" s="16" t="inlineStr">
        <is>
          <t>250.000 – 1 Mio. EUR Initial-Ticket</t>
        </is>
      </c>
      <c r="I79" s="16" t="inlineStr">
        <is>
          <t>Data-Infra-nah</t>
        </is>
      </c>
      <c r="J79" s="16" t="inlineStr">
        <is>
          <t>Bernd Wendeln</t>
        </is>
      </c>
      <c r="K79" s="16" t="inlineStr">
        <is>
          <t>Managing Partner (Co-Founder WEGA Invest und BonVenture); weitere: Christophe Aumaître (Partner), Dr. Tom Orben (Investment Manager)</t>
        </is>
      </c>
      <c r="L79" s="16" t="inlineStr">
        <is>
          <t>n/a (Firmenprofil: https://www.linkedin.com/company/wenvestcapital/)</t>
        </is>
      </c>
      <c r="M79" s="16" t="inlineStr">
        <is>
          <t>deals@wenvest.capital (Deal-Submissions), info@wenvest.capital; Pitch-Formular via Airtable auf wenvest.capital</t>
        </is>
      </c>
      <c r="N79" s="16" t="inlineStr">
        <is>
          <t>Direkt an deals@wenvest.capital mit dem B2B-Software-Framing: PathWize als Infrastruktur-SaaS, das den Daten-Engpass jeder AI-Einführung im deutschen Mittelstand löst.</t>
        </is>
      </c>
      <c r="O79" s="16" t="inlineStr">
        <is>
          <t>Reinrassiger Pre-Seed-/Seed-Investor für B2B-Software in DACH mit passender Ticketgröße (250 TEUR–1 Mio. EUR) und offenem Deal-Kanal. Der AI-/Data-Infrastruktur-Track-Record ist allerdings nicht öffentlich belegt.</t>
        </is>
      </c>
      <c r="P79" s="18" t="inlineStr">
        <is>
          <t>Offen</t>
        </is>
      </c>
      <c r="Q79" s="18" t="inlineStr"/>
      <c r="R79" s="19" t="inlineStr"/>
      <c r="S79" s="19" t="inlineStr"/>
      <c r="T79" s="18" t="inlineStr"/>
      <c r="U79" s="16" t="inlineStr"/>
      <c r="V79" s="16" t="inlineStr"/>
    </row>
    <row r="80">
      <c r="A80" s="12" t="n">
        <v>76</v>
      </c>
      <c r="B80" s="21" t="inlineStr">
        <is>
          <t>3</t>
        </is>
      </c>
      <c r="C80" s="14" t="inlineStr">
        <is>
          <t>Iris Capital (IRIS)</t>
        </is>
      </c>
      <c r="D80" s="13" t="inlineStr">
        <is>
          <t>A</t>
        </is>
      </c>
      <c r="E80" s="13" t="n">
        <v>75</v>
      </c>
      <c r="F80" s="15" t="inlineStr">
        <is>
          <t>Paris (Bueros u.a. Berlin, Muenchen, San Francisco, Tel Aviv, Tokio, Dubai)</t>
        </is>
      </c>
      <c r="G80" s="16" t="inlineStr">
        <is>
          <t>Ab erster institutioneller Runde (kein Pre-Seed), Schwerpunkt Series A und Series B; separater Late-Stage-Fonds</t>
        </is>
      </c>
      <c r="H80" s="16" t="inlineStr">
        <is>
          <t>Early Stage 1 - 10 Mio. EUR Erstticket; Late-Stage-Fonds bis 40 Mio. EUR</t>
        </is>
      </c>
      <c r="I80" s="16" t="inlineStr">
        <is>
          <t>-</t>
        </is>
      </c>
      <c r="J80" s="16" t="inlineStr">
        <is>
          <t>Thorben Rothe (DACH) bzw. Julien-David Nitlech (AI/Deep Tech)</t>
        </is>
      </c>
      <c r="K80" s="16" t="inlineStr">
        <is>
          <t>Thorben Rothe: Partner Venture, Berlin, Fokus Early Stage DACH, B2B-Software und Marktplaetze. Julien-David Nitlech: Managing Partner, verantwortet Early Stage Frankreich/Deutschland mit Fokus AI, Deep Tech, Industrie 4.0. Jakob Banhardt: Principal Venture, Berlin, Fokus AI/SaaS DACH.</t>
        </is>
      </c>
      <c r="L80" s="16" t="inlineStr">
        <is>
          <t>n/a</t>
        </is>
      </c>
      <c r="M80" s="16" t="inlineStr">
        <is>
          <t>Kontaktformular auf iris.vc; E-Mail n/a</t>
        </is>
      </c>
      <c r="N80" s="16" t="inlineStr">
        <is>
          <t>Ueber Jakob Banhardt oder Thorben Rothe im Berliner Buero ansprechen, mit PathWize als DACH-Play auf Julien-David Nitlechs AI-/Industrie-4.0-These: annotierte Trainingsdaten fuer europaeische Industrie- und Robotik-Modelle.</t>
        </is>
      </c>
      <c r="O80" s="16" t="inlineStr">
        <is>
          <t>Paneuropaeischer Fonds mit frischem 150-Mio.-EUR-Early-Stage-Vehikel, dediziertem Berliner DACH-Team und explizitem AI-/Deep-Tech-Mandat auf Managing-Partner-Ebene.</t>
        </is>
      </c>
      <c r="P80" s="18" t="inlineStr">
        <is>
          <t>Offen</t>
        </is>
      </c>
      <c r="Q80" s="18" t="inlineStr"/>
      <c r="R80" s="19" t="inlineStr"/>
      <c r="S80" s="19" t="inlineStr"/>
      <c r="T80" s="18" t="inlineStr"/>
      <c r="U80" s="16" t="inlineStr"/>
      <c r="V80" s="16" t="inlineStr"/>
    </row>
    <row r="81">
      <c r="A81" s="22" t="n">
        <v>77</v>
      </c>
      <c r="B81" s="21" t="inlineStr">
        <is>
          <t>3</t>
        </is>
      </c>
      <c r="C81" s="23" t="inlineStr">
        <is>
          <t>Alstin Capital</t>
        </is>
      </c>
      <c r="D81" s="20" t="inlineStr">
        <is>
          <t>B</t>
        </is>
      </c>
      <c r="E81" s="20" t="n">
        <v>74</v>
      </c>
      <c r="F81" s="15" t="inlineStr">
        <is>
          <t>Muenchen</t>
        </is>
      </c>
      <c r="G81" s="16" t="inlineStr">
        <is>
          <t>Late Seed / Series A</t>
        </is>
      </c>
      <c r="H81" s="16" t="inlineStr">
        <is>
          <t>EUR 2-8 Mio. Initial Investment (Fonds-III-Kommunikation: EUR 2-7 Mio.)</t>
        </is>
      </c>
      <c r="I81" s="16" t="inlineStr">
        <is>
          <t>-</t>
        </is>
      </c>
      <c r="J81" s="16" t="inlineStr">
        <is>
          <t>Carsten Maschmeyer</t>
        </is>
      </c>
      <c r="K81" s="16" t="inlineStr">
        <is>
          <t>Gruender von Alstin Capital</t>
        </is>
      </c>
      <c r="L81" s="16" t="inlineStr">
        <is>
          <t>n/a</t>
        </is>
      </c>
      <c r="M81" s="16" t="inlineStr">
        <is>
          <t>Pitch-Deck-Formular auf https://www.alstin.de (Bereich 'Send Pitch Deck'), Kontaktseite https://www.alstin.de/contact</t>
        </is>
      </c>
      <c r="N81" s="16" t="inlineStr">
        <is>
          <t>Als skalierbares B2B-Software-Geschaeft mit wiederkehrenden Umsaetzen ansprechen, sobald PathWize Series-A-Traktion (ARR) zeigt - Bruecke ueber Etalytics/Nect als AI-Cases im Portfolio.</t>
        </is>
      </c>
      <c r="O81" s="16" t="inlineStr">
        <is>
          <t>Frischer EUR-175-Mio.-Fonds mit expliziter B2B-Software-These und DACH-Fokus, der Runden anfuehrt - allerdings erst ab Late Seed/Series A und ohne Data-Infra-/MLOps-Track-Record.</t>
        </is>
      </c>
      <c r="P81" s="18" t="inlineStr">
        <is>
          <t>Offen</t>
        </is>
      </c>
      <c r="Q81" s="18" t="inlineStr"/>
      <c r="R81" s="19" t="inlineStr"/>
      <c r="S81" s="19" t="inlineStr"/>
      <c r="T81" s="18" t="inlineStr"/>
      <c r="U81" s="16" t="inlineStr"/>
      <c r="V81" s="16" t="inlineStr"/>
    </row>
    <row r="82">
      <c r="A82" s="22" t="n">
        <v>78</v>
      </c>
      <c r="B82" s="21" t="inlineStr">
        <is>
          <t>3</t>
        </is>
      </c>
      <c r="C82" s="23" t="inlineStr">
        <is>
          <t>byFounders</t>
        </is>
      </c>
      <c r="D82" s="20" t="inlineStr">
        <is>
          <t>B</t>
        </is>
      </c>
      <c r="E82" s="20" t="n">
        <v>74</v>
      </c>
      <c r="F82" s="15" t="inlineStr">
        <is>
          <t>Kopenhagen (+ Stockholm)</t>
        </is>
      </c>
      <c r="G82" s="16" t="inlineStr">
        <is>
          <t>Pre-Seed und Seed</t>
        </is>
      </c>
      <c r="H82" s="16" t="inlineStr">
        <is>
          <t>500 Tsd. - 4 Mio. EUR Erstticket</t>
        </is>
      </c>
      <c r="I82" s="16" t="inlineStr">
        <is>
          <t>-</t>
        </is>
      </c>
      <c r="J82" s="16" t="inlineStr">
        <is>
          <t>Sara Rywe</t>
        </is>
      </c>
      <c r="K82" s="16" t="inlineStr">
        <is>
          <t>Managing Partner; weitere: Eric Lagier (Managing Partner), Magnus Hambleton (Partner)</t>
        </is>
      </c>
      <c r="L82" s="16" t="inlineStr">
        <is>
          <t>n/a</t>
        </is>
      </c>
      <c r="M82" s="16" t="inlineStr">
        <is>
          <t>Kein oeffentliches Pitch-Formular auf der Website; Kontakt ueber byfounders.vc bzw. Bueros Kopenhagen und Stockholm</t>
        </is>
      </c>
      <c r="N82" s="16" t="inlineStr">
        <is>
          <t>Nur mit nordischem Anker (Baltisches Delivery-Team, nordischer Kunde oder Collective-Kontakt) - dann als Trainingsdaten-Layer zu Verdas europaeischer AI-Compute-Infrastruktur positionieren.</t>
        </is>
      </c>
      <c r="O82" s="16" t="inlineStr">
        <is>
          <t>Perfekte Stage und Ticketgroesse aus einem brandneuen 130-Mio.-EUR-Fonds mit klarem AI-Tilt, aber byFounders verlangt einen Bezug zu den 'New Nordics' (Nordics/Baltics) und hat kein Data-Infrastruktur- oder Labeling-Buch.</t>
        </is>
      </c>
      <c r="P82" s="18" t="inlineStr">
        <is>
          <t>Offen</t>
        </is>
      </c>
      <c r="Q82" s="18" t="inlineStr"/>
      <c r="R82" s="19" t="inlineStr"/>
      <c r="S82" s="19" t="inlineStr"/>
      <c r="T82" s="18" t="inlineStr"/>
      <c r="U82" s="16" t="inlineStr"/>
      <c r="V82" s="16" t="inlineStr"/>
    </row>
    <row r="83">
      <c r="A83" s="22" t="n">
        <v>79</v>
      </c>
      <c r="B83" s="21" t="inlineStr">
        <is>
          <t>3</t>
        </is>
      </c>
      <c r="C83" s="23" t="inlineStr">
        <is>
          <t>Elaia</t>
        </is>
      </c>
      <c r="D83" s="20" t="inlineStr">
        <is>
          <t>B</t>
        </is>
      </c>
      <c r="E83" s="20" t="n">
        <v>74</v>
      </c>
      <c r="F83" s="15" t="inlineStr">
        <is>
          <t>Paris (+ Barcelona, Tel Aviv)</t>
        </is>
      </c>
      <c r="G83" s="16" t="inlineStr">
        <is>
          <t>Pre-Seed und Seed B2B Deep Tech (DTS3); daneben Later-Stage-Vehikel</t>
        </is>
      </c>
      <c r="H83" s="16" t="inlineStr">
        <is>
          <t>1-13 Mio. EUR ueber die Investmentlaufzeit (DTS3)</t>
        </is>
      </c>
      <c r="I83" s="16" t="inlineStr">
        <is>
          <t>-</t>
        </is>
      </c>
      <c r="J83" s="16" t="inlineStr">
        <is>
          <t>n/a (kein dedizierter Data-Infrastruktur-Partner auf der Website ausgewiesen)</t>
        </is>
      </c>
      <c r="K83" s="16" t="inlineStr">
        <is>
          <t>n/a</t>
        </is>
      </c>
      <c r="L83" s="16" t="inlineStr">
        <is>
          <t>n/a</t>
        </is>
      </c>
      <c r="M83" s="16" t="inlineStr">
        <is>
          <t>Kontakt-/Pitch-Formular auf elaia.com; Bueros Paris, Barcelona, Tel Aviv</t>
        </is>
      </c>
      <c r="N83" s="16" t="inlineStr">
        <is>
          <t>Nur mit wissenschaftlichem Aufhaenger sinnvoll: Positionierung als Forschungs-/Benchmark-Datenpartner fuer europaeische AI-Labs, angedockt an Elaias Max-Planck- und Inria-Kooperationen.</t>
        </is>
      </c>
      <c r="O83" s="16" t="inlineStr">
        <is>
          <t>Frischer 134-Mio.-EUR-Seed-Fonds mit passender Stage und bereits Investments in Deutschland, Spanien und der Schweiz - aber Elaia sucht forschungsbasierte Deep-Tech-Spinouts mit harter IP, wozu ein Human-in-the-loop-Datengeschaeft strukturell nicht passt.</t>
        </is>
      </c>
      <c r="P83" s="18" t="inlineStr">
        <is>
          <t>Offen</t>
        </is>
      </c>
      <c r="Q83" s="18" t="inlineStr"/>
      <c r="R83" s="19" t="inlineStr"/>
      <c r="S83" s="19" t="inlineStr"/>
      <c r="T83" s="18" t="inlineStr"/>
      <c r="U83" s="16" t="inlineStr"/>
      <c r="V83" s="16" t="inlineStr"/>
    </row>
    <row r="84">
      <c r="A84" s="22" t="n">
        <v>80</v>
      </c>
      <c r="B84" s="21" t="inlineStr">
        <is>
          <t>3</t>
        </is>
      </c>
      <c r="C84" s="23" t="inlineStr">
        <is>
          <t>Frst</t>
        </is>
      </c>
      <c r="D84" s="20" t="inlineStr">
        <is>
          <t>B</t>
        </is>
      </c>
      <c r="E84" s="20" t="n">
        <v>74</v>
      </c>
      <c r="F84" s="15" t="inlineStr">
        <is>
          <t>Paris (+ San Francisco)</t>
        </is>
      </c>
      <c r="G84" s="16" t="inlineStr">
        <is>
          <t>Pre-Seed / Day One (teils vor Gruendung), begleitet bis Series A</t>
        </is>
      </c>
      <c r="H84" s="16" t="inlineStr">
        <is>
          <t>ca. 2 Mio. USD Erstticket (mit hoher Varianz); Entscheidung in '2 Meetings / 48 Stunden'</t>
        </is>
      </c>
      <c r="I84" s="16" t="inlineStr">
        <is>
          <t>-</t>
        </is>
      </c>
      <c r="J84" s="16" t="inlineStr">
        <is>
          <t>Pierre Entremont</t>
        </is>
      </c>
      <c r="K84" s="16" t="inlineStr">
        <is>
          <t>Co-Founder &amp; Partner; weiterer Co-Founder: Bruno Raillard; Samuel Fitoussi (Associate)</t>
        </is>
      </c>
      <c r="L84" s="16" t="inlineStr">
        <is>
          <t>n/a</t>
        </is>
      </c>
      <c r="M84" s="16" t="inlineStr">
        <is>
          <t>pierre@frst.vc, bruno@frst.vc; Kontaktformular auf frst.vc</t>
        </is>
      </c>
      <c r="N84" s="16" t="inlineStr">
        <is>
          <t>Kurze, direkte Mail an pierre@frst.vc mit dem poolside-/Bioptimus-Bezug: PathWize loest den Trainingsdaten-Engpass, an dem europaeische Foundation-Model-Teams haengen - passend zum '2 Meetings, 48 Stunden'-Format.</t>
        </is>
      </c>
      <c r="O84" s="16" t="inlineStr">
        <is>
          <t>Extrem schneller Day-One-Lead mit 2-Mio.-USD-Erstticket und AI-lastigem Portfolio (poolside, Owkin, Bioptimus), aber der Fonds definiert sich ueber franzoesische Gruender und hat kein belegtes Data-Infrastruktur- oder Labeling-Investment.</t>
        </is>
      </c>
      <c r="P84" s="18" t="inlineStr">
        <is>
          <t>Offen</t>
        </is>
      </c>
      <c r="Q84" s="18" t="inlineStr"/>
      <c r="R84" s="19" t="inlineStr"/>
      <c r="S84" s="19" t="inlineStr"/>
      <c r="T84" s="18" t="inlineStr"/>
      <c r="U84" s="16" t="inlineStr"/>
      <c r="V84" s="16" t="inlineStr"/>
    </row>
    <row r="85">
      <c r="A85" s="22" t="n">
        <v>81</v>
      </c>
      <c r="B85" s="21" t="inlineStr">
        <is>
          <t>3</t>
        </is>
      </c>
      <c r="C85" s="23" t="inlineStr">
        <is>
          <t>Kfund</t>
        </is>
      </c>
      <c r="D85" s="20" t="inlineStr">
        <is>
          <t>B</t>
        </is>
      </c>
      <c r="E85" s="20" t="n">
        <v>74</v>
      </c>
      <c r="F85" s="15" t="inlineStr">
        <is>
          <t>Madrid</t>
        </is>
      </c>
      <c r="G85" s="16" t="inlineStr">
        <is>
          <t>Pre-Seed bis Series B</t>
        </is>
      </c>
      <c r="H85" s="16" t="inlineStr">
        <is>
          <t>100 Tsd. bis 15 Mio. EUR</t>
        </is>
      </c>
      <c r="I85" s="16" t="inlineStr">
        <is>
          <t>Data-Infra-nah</t>
        </is>
      </c>
      <c r="J85" s="16" t="inlineStr">
        <is>
          <t>Inaki Arrola</t>
        </is>
      </c>
      <c r="K85" s="16" t="inlineStr">
        <is>
          <t>Co-Founder &amp; Managing Partner (alternativ Jaime Novoa, Partner, fuer Early-Stage-Deals)</t>
        </is>
      </c>
      <c r="L85" s="16" t="inlineStr">
        <is>
          <t>https://www.linkedin.com/in/inakiarrola</t>
        </is>
      </c>
      <c r="M85" s="16" t="inlineStr">
        <is>
          <t>E-Mail-Schema vorname@kfund.vc (z.B. jaime@kfund.vc); Team-Seite https://www.kfund.vc/team</t>
        </is>
      </c>
      <c r="N85" s="16" t="inlineStr">
        <is>
          <t>Ueber die K3-These 'data plays' einsteigen und PathWize als die Datenschicht positionieren, die europaeische AI-Modelle ueberhaupt trainierbar macht - inklusive Hinweis auf suedeuropaeische Delivery-/Annotator-Kapazitaeten als Bruecke zum Fondsmandat.</t>
        </is>
      </c>
      <c r="O85" s="16" t="inlineStr">
        <is>
          <t>Thesenseitig einer der wenigen europaeischen Fonds, die 'data plays' woertlich als Investmentkategorie fuehren, und die Stage-Spanne Pre-Seed bis Series B passt exakt. Der geografische Mandatsfokus auf Suedeuropa und LatAm macht ein deutsches Startup jedoch zum Ausnahmefall.</t>
        </is>
      </c>
      <c r="P85" s="18" t="inlineStr">
        <is>
          <t>Offen</t>
        </is>
      </c>
      <c r="Q85" s="18" t="inlineStr"/>
      <c r="R85" s="19" t="inlineStr"/>
      <c r="S85" s="19" t="inlineStr"/>
      <c r="T85" s="18" t="inlineStr"/>
      <c r="U85" s="16" t="inlineStr"/>
      <c r="V85" s="16" t="inlineStr"/>
    </row>
    <row r="86">
      <c r="A86" s="22" t="n">
        <v>82</v>
      </c>
      <c r="B86" s="21" t="inlineStr">
        <is>
          <t>3</t>
        </is>
      </c>
      <c r="C86" s="23" t="inlineStr">
        <is>
          <t>Seedcamp</t>
        </is>
      </c>
      <c r="D86" s="20" t="inlineStr">
        <is>
          <t>B</t>
        </is>
      </c>
      <c r="E86" s="20" t="n">
        <v>74</v>
      </c>
      <c r="F86" s="15" t="inlineStr">
        <is>
          <t>London</t>
        </is>
      </c>
      <c r="G86" s="16" t="inlineStr">
        <is>
          <t>Erstcheck / Pre-Seed und Seed, auch pre-product, pre-revenue und pre-traction; Select-Vehikel fuer Follow-ons</t>
        </is>
      </c>
      <c r="H86" s="16" t="inlineStr">
        <is>
          <t>Erstchecks bis ca. 1 Mio. USD</t>
        </is>
      </c>
      <c r="I86" s="16" t="inlineStr">
        <is>
          <t>-</t>
        </is>
      </c>
      <c r="J86" s="16" t="inlineStr">
        <is>
          <t>Reshma Sohoni</t>
        </is>
      </c>
      <c r="K86" s="16" t="inlineStr">
        <is>
          <t>Mitgruenderin und Managing Partner; Carlos Espinal als Mitgruender/Managing Partner</t>
        </is>
      </c>
      <c r="L86" s="16" t="inlineStr">
        <is>
          <t>https://www.linkedin.com/in/reshmasohoni</t>
        </is>
      </c>
      <c r="M86" s="16" t="inlineStr">
        <is>
          <t>Bewerbungs-/Pitch-Formular auf seedcamp.com</t>
        </is>
      </c>
      <c r="N86" s="16" t="inlineStr">
        <is>
          <t>Ueber das Bewerbungsformular mit einem AI-Infrastruktur-Winkel einreichen und die europaeische Souveraenitaets-/Compliance-Karte fuer Trainingsdaten spielen.</t>
        </is>
      </c>
      <c r="O86" s="16" t="inlineStr">
        <is>
          <t>Sehr aktiver Erstcheck-Investor mit frischem 320-Mio.-USD-Fonds und europaweitem Zugang, aber sektor-agnostisch und ohne Data-Infrastruktur- oder Trainingsdaten-These - der Fit kommt aus der Stage, nicht aus der These.</t>
        </is>
      </c>
      <c r="P86" s="18" t="inlineStr">
        <is>
          <t>Offen</t>
        </is>
      </c>
      <c r="Q86" s="18" t="inlineStr"/>
      <c r="R86" s="19" t="inlineStr"/>
      <c r="S86" s="19" t="inlineStr"/>
      <c r="T86" s="18" t="inlineStr"/>
      <c r="U86" s="16" t="inlineStr"/>
      <c r="V86" s="16" t="inlineStr"/>
    </row>
    <row r="87">
      <c r="A87" s="22" t="n">
        <v>83</v>
      </c>
      <c r="B87" s="21" t="inlineStr">
        <is>
          <t>3</t>
        </is>
      </c>
      <c r="C87" s="23" t="inlineStr">
        <is>
          <t>U2V (Earlybird-X Spin-out)</t>
        </is>
      </c>
      <c r="D87" s="20" t="inlineStr">
        <is>
          <t>B</t>
        </is>
      </c>
      <c r="E87" s="20" t="n">
        <v>74</v>
      </c>
      <c r="F87" s="15" t="inlineStr">
        <is>
          <t>Berlin (weitere Standorte Aachen, London)</t>
        </is>
      </c>
      <c r="G87" s="16" t="inlineStr">
        <is>
          <t>Pre-Seed &amp; Seed</t>
        </is>
      </c>
      <c r="H87" s="16" t="inlineStr">
        <is>
          <t>n/a; ca. 25 Investments aus einem 60-Mio.-EUR-Fonds geplant (rechnerisch im niedrigen einstelligen Mio.-Bereich)</t>
        </is>
      </c>
      <c r="I87" s="16" t="inlineStr">
        <is>
          <t>-</t>
        </is>
      </c>
      <c r="J87" s="16" t="inlineStr">
        <is>
          <t>Dr. Philipp Semmer</t>
        </is>
      </c>
      <c r="K87" s="16" t="inlineStr">
        <is>
          <t>Founding Partner (weitere Founding Partners: Michael Schmitt, Johannes Triebs)</t>
        </is>
      </c>
      <c r="L87" s="16" t="inlineStr">
        <is>
          <t>https://de.linkedin.com/in/philippsemmer</t>
        </is>
      </c>
      <c r="M87" s="16" t="inlineStr">
        <is>
          <t>Website https://www.u2v.vc/ (Kontaktseite); Partner ueber LinkedIn direkt erreichbar</t>
        </is>
      </c>
      <c r="N87" s="16" t="inlineStr">
        <is>
          <t>Nur sinnvoll mit einem belegbaren Forschungsanker (z.B. RWTH-/TUM-Kooperation oder wissenschaftliche Publikation zur Annotationsqualitaet) - dann PathWize als Datenschicht fuer die AI-Spin-offs des eigenen Portfolios positionieren.</t>
        </is>
      </c>
      <c r="O87" s="16" t="inlineStr">
        <is>
          <t>Frischer 60-Mio.-Fonds mit reinem Pre-Seed-/Seed-Mandat, deutschem Sitz und AI als einer von drei Kernkategorien - stage- und geo-seitig ein sehr guter Fit. Kritisch ist das enge Spin-out-Mandat: ohne universitaeren Forschungsursprung faellt PathWize weitgehend aus dem Investitionsraster.</t>
        </is>
      </c>
      <c r="P87" s="18" t="inlineStr">
        <is>
          <t>Offen</t>
        </is>
      </c>
      <c r="Q87" s="18" t="inlineStr"/>
      <c r="R87" s="19" t="inlineStr"/>
      <c r="S87" s="19" t="inlineStr"/>
      <c r="T87" s="18" t="inlineStr"/>
      <c r="U87" s="16" t="inlineStr"/>
      <c r="V87" s="16" t="inlineStr"/>
    </row>
    <row r="88">
      <c r="A88" s="22" t="n">
        <v>84</v>
      </c>
      <c r="B88" s="21" t="inlineStr">
        <is>
          <t>3</t>
        </is>
      </c>
      <c r="C88" s="23" t="inlineStr">
        <is>
          <t>United Ventures</t>
        </is>
      </c>
      <c r="D88" s="20" t="inlineStr">
        <is>
          <t>B</t>
        </is>
      </c>
      <c r="E88" s="20" t="n">
        <v>74</v>
      </c>
      <c r="F88" s="15" t="inlineStr">
        <is>
          <t>Mailand</t>
        </is>
      </c>
      <c r="G88" s="16" t="inlineStr">
        <is>
          <t>Seed und Series A (Early Stage)</t>
        </is>
      </c>
      <c r="H88" s="16" t="inlineStr">
        <is>
          <t>1-8 Mio. EUR Erstticket (United Ventures III); Sweet Spot ca. 1-2,5 Mio. EUR</t>
        </is>
      </c>
      <c r="I88" s="16" t="inlineStr">
        <is>
          <t>Data-Infra-nah</t>
        </is>
      </c>
      <c r="J88" s="16" t="inlineStr">
        <is>
          <t>Massimiliano Magrini</t>
        </is>
      </c>
      <c r="K88" s="16" t="inlineStr">
        <is>
          <t>Co-Founder &amp; Managing Partner (zuvor Country Manager Google Italien und AltaVista)</t>
        </is>
      </c>
      <c r="L88" s="16" t="inlineStr">
        <is>
          <t>n/a</t>
        </is>
      </c>
      <c r="M88" s="16" t="inlineStr">
        <is>
          <t>Kontaktformular auf unitedventures.com; keine oeffentliche Pitch-E-Mail belegbar</t>
        </is>
      </c>
      <c r="N88" s="16" t="inlineStr">
        <is>
          <t>Ueber die Aindo-These einsteigen: synthetische Daten und Human-in-the-loop-Labeling sind komplementaer, PathWize liefert den Qualitaets-Layer, den rein synthetische Pipelines nicht abdecken.</t>
        </is>
      </c>
      <c r="O88" s="16" t="inlineStr">
        <is>
          <t>Mit Aindo hat United Ventures ein belegtes Trainingsdaten-Investment und mit IdentifAI ein AI-Investment gefuehrt, agiert aber ueberwiegend im italienischen Ecosystem - deutsche Startups sind die Ausnahme, nicht die Regel.</t>
        </is>
      </c>
      <c r="P88" s="18" t="inlineStr">
        <is>
          <t>Offen</t>
        </is>
      </c>
      <c r="Q88" s="18" t="inlineStr"/>
      <c r="R88" s="19" t="inlineStr"/>
      <c r="S88" s="19" t="inlineStr"/>
      <c r="T88" s="18" t="inlineStr"/>
      <c r="U88" s="16" t="inlineStr"/>
      <c r="V88" s="16" t="inlineStr"/>
    </row>
    <row r="89">
      <c r="A89" s="22" t="n">
        <v>85</v>
      </c>
      <c r="B89" s="21" t="inlineStr">
        <is>
          <t>3</t>
        </is>
      </c>
      <c r="C89" s="23" t="inlineStr">
        <is>
          <t>IQ Capital</t>
        </is>
      </c>
      <c r="D89" s="20" t="inlineStr">
        <is>
          <t>B</t>
        </is>
      </c>
      <c r="E89" s="20" t="n">
        <v>73</v>
      </c>
      <c r="F89" s="15" t="inlineStr">
        <is>
          <t>Cambridge / London</t>
        </is>
      </c>
      <c r="G89" s="16" t="inlineStr">
        <is>
          <t>Seed und Series A (Fund IV); separater Growth-Fonds fuer spaetere Runden</t>
        </is>
      </c>
      <c r="H89" s="16" t="inlineStr">
        <is>
          <t>ca. 2,5 Mio. USD im Seed, bis 5 Mio. USD in kapitalintensiven Feldern</t>
        </is>
      </c>
      <c r="I89" s="16" t="inlineStr">
        <is>
          <t>-</t>
        </is>
      </c>
      <c r="J89" s="16" t="inlineStr">
        <is>
          <t>n/a</t>
        </is>
      </c>
      <c r="K89" s="16" t="inlineStr">
        <is>
          <t>n/a - kein oeffentlich benannter Partner mit Data-Infrastruktur- oder MLOps-Remit auffindbar; Kerry Baldwin und Max Bautin als Mitgruender/General Partner</t>
        </is>
      </c>
      <c r="L89" s="16" t="inlineStr">
        <is>
          <t>n/a</t>
        </is>
      </c>
      <c r="M89" s="16" t="inlineStr">
        <is>
          <t>Kontaktformular auf iqcapital.vc</t>
        </is>
      </c>
      <c r="N89" s="16" t="inlineStr">
        <is>
          <t>Nur mit einem klaren IP- und Automatisierungsnarrativ ansprechen: proprietaere Qualitaets- und Active-Learning-Technologie statt reiner Annotations-Dienstleistung.</t>
        </is>
      </c>
      <c r="O89" s="16" t="inlineStr">
        <is>
          <t>Kapitalstarker und aktiver Seed-/Series-A-Deep-Tech-Fonds, dessen These aber auf verteidigbares technisches IP (Quantum, Materials, Space) zielt - ein Human-in-the-loop-Labeling-Geschaeft passt nur am Rand.</t>
        </is>
      </c>
      <c r="P89" s="18" t="inlineStr">
        <is>
          <t>Offen</t>
        </is>
      </c>
      <c r="Q89" s="18" t="inlineStr"/>
      <c r="R89" s="19" t="inlineStr"/>
      <c r="S89" s="19" t="inlineStr"/>
      <c r="T89" s="18" t="inlineStr"/>
      <c r="U89" s="16" t="inlineStr"/>
      <c r="V89" s="16" t="inlineStr"/>
    </row>
    <row r="90">
      <c r="A90" s="22" t="n">
        <v>86</v>
      </c>
      <c r="B90" s="21" t="inlineStr">
        <is>
          <t>3</t>
        </is>
      </c>
      <c r="C90" s="23" t="inlineStr">
        <is>
          <t>PSV Tech</t>
        </is>
      </c>
      <c r="D90" s="20" t="inlineStr">
        <is>
          <t>B</t>
        </is>
      </c>
      <c r="E90" s="20" t="n">
        <v>73</v>
      </c>
      <c r="F90" s="15" t="inlineStr">
        <is>
          <t>Kongens Lyngby / Kopenhagen</t>
        </is>
      </c>
      <c r="G90" s="16" t="inlineStr">
        <is>
          <t>Pre-Seed (pre-PMF), teilweise Seed</t>
        </is>
      </c>
      <c r="H90" s="16" t="inlineStr">
        <is>
          <t>100 Tsd. bis 1,5 Mio. EUR</t>
        </is>
      </c>
      <c r="I90" s="16" t="inlineStr">
        <is>
          <t>Data-Infra-nah</t>
        </is>
      </c>
      <c r="J90" s="16" t="inlineStr">
        <is>
          <t>Christel Piron</t>
        </is>
      </c>
      <c r="K90" s="16" t="inlineStr">
        <is>
          <t>General Partner / CEO (weitere GPs: Helle Uth, Richard Breiter, Alexander Viterbo-Horten)</t>
        </is>
      </c>
      <c r="L90" s="16" t="inlineStr">
        <is>
          <t>https://dk.linkedin.com/in/christelpiron</t>
        </is>
      </c>
      <c r="M90" s="16" t="inlineStr">
        <is>
          <t>Website https://www.psv.xyz/ (Kontaktseite), Telefon +45 7734 0755, Adresse Diplomvej 381, 2800 Kongens Lyngby</t>
        </is>
      </c>
      <c r="N90" s="16" t="inlineStr">
        <is>
          <t>Ueber die Souveraenitaetsthese ansprechen: europaeische Trainingsdaten-Infrastruktur als Voraussetzung fuer nordische AI-Modelle - und pruefen, ob eine nordische Entitaet oder ein Co-Investment-Setup das Mandat oeffnet.</t>
        </is>
      </c>
      <c r="O90" s="16" t="inlineStr">
        <is>
          <t>These 'AI, Software und digitale Infrastruktur mit europaeischer Souveraenitaet' trifft die PathWize-Positionierung fast woertlich, und der frisch aufgelegte 70-Mio.-Fonds sucht aktiv Pre-Seed-Deals. Der Fonds investiert jedoch dezidiert in nordische Gruender, was DACH ausschliesst.</t>
        </is>
      </c>
      <c r="P90" s="18" t="inlineStr">
        <is>
          <t>Offen</t>
        </is>
      </c>
      <c r="Q90" s="18" t="inlineStr"/>
      <c r="R90" s="19" t="inlineStr"/>
      <c r="S90" s="19" t="inlineStr"/>
      <c r="T90" s="18" t="inlineStr"/>
      <c r="U90" s="16" t="inlineStr"/>
      <c r="V90" s="16" t="inlineStr"/>
    </row>
    <row r="91">
      <c r="A91" s="22" t="n">
        <v>87</v>
      </c>
      <c r="B91" s="21" t="inlineStr">
        <is>
          <t>3</t>
        </is>
      </c>
      <c r="C91" s="23" t="inlineStr">
        <is>
          <t>Lakestar</t>
        </is>
      </c>
      <c r="D91" s="20" t="inlineStr">
        <is>
          <t>B</t>
        </is>
      </c>
      <c r="E91" s="20" t="n">
        <v>72</v>
      </c>
      <c r="F91" s="15" t="inlineStr">
        <is>
          <t>Zürich / Berlin / London</t>
        </is>
      </c>
      <c r="G91" s="16" t="inlineStr">
        <is>
          <t>Seed, Series A bis Growth (Early- und Growth-Fonds getrennt)</t>
        </is>
      </c>
      <c r="H91" s="16" t="inlineStr">
        <is>
          <t>Early-Stage typ. 1-10 Mio. EUR, Growth deutlich höher (nicht offiziell publiziert)</t>
        </is>
      </c>
      <c r="I91" s="16" t="inlineStr">
        <is>
          <t>Data-Infra-nah</t>
        </is>
      </c>
      <c r="J91" s="16" t="inlineStr">
        <is>
          <t>Nicolas Brand</t>
        </is>
      </c>
      <c r="K91" s="16" t="inlineStr">
        <is>
          <t>Managing Partner, Fokus Deep Tech</t>
        </is>
      </c>
      <c r="L91" s="16" t="inlineStr">
        <is>
          <t>n/a</t>
        </is>
      </c>
      <c r="M91" s="16" t="inlineStr">
        <is>
          <t>https://www.lakestar.com/ (Kontaktseite; keine öffentliche Pitch-Mail publiziert)</t>
        </is>
      </c>
      <c r="N91" s="16" t="inlineStr">
        <is>
          <t>PathWize als souveränitätsrelevante europäische Trainingsdaten-Infrastruktur positionieren, die europäischen Foundation-Model- und Defense-AI-Teams (Helsing-Umfeld) unabhängig von US-Labeling-Anbietern macht.</t>
        </is>
      </c>
      <c r="O91" s="16" t="inlineStr">
        <is>
          <t>Lakestar investiert aktiv ab Seed/Series A in DACH, nennt AI und Deep Tech explizit in der These und hat mit dem 2026er Souveränitätsfonds frisches Kapital. Der zuletzt starke Schwenk auf Defense, Aerospace und industrielle Resilienz macht ein reines Data-Labeling-Geschäftsmodell aber zu einem Randthema.</t>
        </is>
      </c>
      <c r="P91" s="18" t="inlineStr">
        <is>
          <t>Offen</t>
        </is>
      </c>
      <c r="Q91" s="18" t="inlineStr"/>
      <c r="R91" s="19" t="inlineStr"/>
      <c r="S91" s="19" t="inlineStr"/>
      <c r="T91" s="18" t="inlineStr"/>
      <c r="U91" s="16" t="inlineStr"/>
      <c r="V91" s="16" t="inlineStr"/>
    </row>
    <row r="92">
      <c r="A92" s="22" t="n">
        <v>88</v>
      </c>
      <c r="B92" s="21" t="inlineStr">
        <is>
          <t>3</t>
        </is>
      </c>
      <c r="C92" s="23" t="inlineStr">
        <is>
          <t>Plural</t>
        </is>
      </c>
      <c r="D92" s="20" t="inlineStr">
        <is>
          <t>B</t>
        </is>
      </c>
      <c r="E92" s="20" t="n">
        <v>72</v>
      </c>
      <c r="F92" s="15" t="inlineStr">
        <is>
          <t>London</t>
        </is>
      </c>
      <c r="G92" s="16" t="inlineStr">
        <is>
          <t>Frühphase - Pre-Seed bis Series A, mit großen Erstschecks</t>
        </is>
      </c>
      <c r="H92" s="16" t="inlineStr">
        <is>
          <t>n/a</t>
        </is>
      </c>
      <c r="I92" s="16" t="inlineStr">
        <is>
          <t>-</t>
        </is>
      </c>
      <c r="J92" s="16" t="inlineStr">
        <is>
          <t>Ian Hogarth</t>
        </is>
      </c>
      <c r="K92" s="16" t="inlineStr">
        <is>
          <t>Co-Founder / Partner (Mitautor des 'State of AI Report', sehr AI-affines Profil; nicht in dieser Recherche über die Website verifiziert)</t>
        </is>
      </c>
      <c r="L92" s="16" t="inlineStr">
        <is>
          <t>n/a</t>
        </is>
      </c>
      <c r="M92" s="16" t="inlineStr">
        <is>
          <t>Über https://www.pluralplatform.com/ (Kontakt- und Investorenportal)</t>
        </is>
      </c>
      <c r="N92" s="16" t="inlineStr">
        <is>
          <t>Über Helsing-Narrativ ansprechen: europäische souveräne AI benötigt sicherheitsgeprüfte, in der EU verarbeitete Annotationskapazität - inklusive Möglichkeit von Clearance-/Vertraulichkeitsprozessen. Damit wird Data Labeling zur strategischen Infrastruktur statt zur Dienstleistung.</t>
        </is>
      </c>
      <c r="O92" s="16" t="inlineStr">
        <is>
          <t>Sehr AI-kompetentes Partnerteam und starker DACH-Bezug über Helsing und Proxima Fusion (beide München). Investiert in der richtigen Frühphase mit substanziellen Erstschecks. Der Fokus liegt allerdings auf 'harter' Deep Tech (Verteidigung, Fusion, Robotik) und weniger auf Daten- und Service-Infrastruktur.</t>
        </is>
      </c>
      <c r="P92" s="18" t="inlineStr">
        <is>
          <t>Offen</t>
        </is>
      </c>
      <c r="Q92" s="18" t="inlineStr"/>
      <c r="R92" s="19" t="inlineStr"/>
      <c r="S92" s="19" t="inlineStr"/>
      <c r="T92" s="18" t="inlineStr"/>
      <c r="U92" s="16" t="inlineStr"/>
      <c r="V92" s="16" t="inlineStr"/>
    </row>
    <row r="93">
      <c r="A93" s="22" t="n">
        <v>89</v>
      </c>
      <c r="B93" s="21" t="inlineStr">
        <is>
          <t>3</t>
        </is>
      </c>
      <c r="C93" s="23" t="inlineStr">
        <is>
          <t>Vsquared Ventures</t>
        </is>
      </c>
      <c r="D93" s="20" t="inlineStr">
        <is>
          <t>B</t>
        </is>
      </c>
      <c r="E93" s="20" t="n">
        <v>72</v>
      </c>
      <c r="F93" s="15" t="inlineStr">
        <is>
          <t>Muenchen (+ London)</t>
        </is>
      </c>
      <c r="G93" s="16" t="inlineStr">
        <is>
          <t>Pre-Seed / Seed / Early Stage, fuehrt Runden an; Follow-ons bis Series A+</t>
        </is>
      </c>
      <c r="H93" s="16" t="inlineStr">
        <is>
          <t>n/a (nicht oeffentlich; typisch einstellige Mio. EUR im Seed)</t>
        </is>
      </c>
      <c r="I93" s="16" t="inlineStr">
        <is>
          <t>-</t>
        </is>
      </c>
      <c r="J93" s="16" t="inlineStr">
        <is>
          <t>Herbert Mangesius</t>
        </is>
      </c>
      <c r="K93" s="16" t="inlineStr">
        <is>
          <t>Founding Partner / General Partner (Dr.-Ing., Deep-Tech-Fokus)</t>
        </is>
      </c>
      <c r="L93" s="16" t="inlineStr">
        <is>
          <t>n/a (Profilseite: https://vsquared.vc/team_member/herbert-mangesius/)</t>
        </is>
      </c>
      <c r="M93" s="16" t="inlineStr">
        <is>
          <t>future@vsquared.vc bzw. pitch@vsquared.vc; Tel. +49 151 50404219</t>
        </is>
      </c>
      <c r="N93" s="16" t="inlineStr">
        <is>
          <t>Nicht als Labeling-Service, sondern als souveraene europaeische Trainingsdaten-Infrastruktur fuer die Robotik- und Sensorik-Portfoliofirmen (Neura, Synthara) pitchen.</t>
        </is>
      </c>
      <c r="O93" s="16" t="inlineStr">
        <is>
          <t>Stage, Geografie (Muenchen) und Aktivitaet passen sehr gut, aber die Deep-Tech-These ist auf Hardware, Compute, Space und Robotik ausgerichtet - ein Data-Labeling-Service-Modell liegt am Rand des Mandats.</t>
        </is>
      </c>
      <c r="P93" s="18" t="inlineStr">
        <is>
          <t>Offen</t>
        </is>
      </c>
      <c r="Q93" s="18" t="inlineStr"/>
      <c r="R93" s="19" t="inlineStr"/>
      <c r="S93" s="19" t="inlineStr"/>
      <c r="T93" s="18" t="inlineStr"/>
      <c r="U93" s="16" t="inlineStr"/>
      <c r="V93" s="16" t="inlineStr"/>
    </row>
    <row r="94">
      <c r="A94" s="22" t="n">
        <v>90</v>
      </c>
      <c r="B94" s="21" t="inlineStr">
        <is>
          <t>3</t>
        </is>
      </c>
      <c r="C94" s="23" t="inlineStr">
        <is>
          <t>3VC</t>
        </is>
      </c>
      <c r="D94" s="20" t="inlineStr">
        <is>
          <t>B</t>
        </is>
      </c>
      <c r="E94" s="20" t="n">
        <v>71</v>
      </c>
      <c r="F94" s="18" t="inlineStr">
        <is>
          <t>Wien</t>
        </is>
      </c>
      <c r="G94" s="16" t="inlineStr">
        <is>
          <t>Early-Stage nach erreichtem Product-Market-Fit, Schwerpunkt Series A und B</t>
        </is>
      </c>
      <c r="H94" s="16" t="inlineStr">
        <is>
          <t>bis 10 Mio. EUR pro Ticket</t>
        </is>
      </c>
      <c r="I94" s="16" t="inlineStr">
        <is>
          <t>-</t>
        </is>
      </c>
      <c r="J94" s="16" t="inlineStr">
        <is>
          <t>Peter Lasinger</t>
        </is>
      </c>
      <c r="K94" s="16" t="inlineStr">
        <is>
          <t>Founder &amp; Partner (weitere Partner: Eva Arh, Marius Istrate)</t>
        </is>
      </c>
      <c r="L94" s="16" t="inlineStr">
        <is>
          <t>https://at.linkedin.com/in/lasinger</t>
        </is>
      </c>
      <c r="M94" s="16" t="inlineStr">
        <is>
          <t>https://three.vc/submit-a-pitch/, https://three.vc/contact/</t>
        </is>
      </c>
      <c r="N94" s="16" t="inlineStr">
        <is>
          <t>Erst bei Series-A-Reife ansprechen und über den Emmi-AI-Exit anknüpfen: PathWize als DACH-Trainingsdaten-Infrastruktur für dieselbe europäische Foundation-Model-Welle.</t>
        </is>
      </c>
      <c r="O94" s="16" t="inlineStr">
        <is>
          <t>3VC ist ein aktiver DACH-Investor mit klarem Series-A-Fokus, Tickets bis 10 Mio. EUR und mit Emmi AI einem erfolgreichen AI-Exit an Mistral. Für Pre-Seed/Seed ist der Fonds allerdings zu spät positioniert und eine explizite Data-Infrastruktur-These fehlt.</t>
        </is>
      </c>
      <c r="P94" s="18" t="inlineStr">
        <is>
          <t>Offen</t>
        </is>
      </c>
      <c r="Q94" s="18" t="inlineStr"/>
      <c r="R94" s="19" t="inlineStr"/>
      <c r="S94" s="19" t="inlineStr"/>
      <c r="T94" s="18" t="inlineStr"/>
      <c r="U94" s="16" t="inlineStr"/>
      <c r="V94" s="16" t="inlineStr"/>
    </row>
    <row r="95">
      <c r="A95" s="22" t="n">
        <v>91</v>
      </c>
      <c r="B95" s="21" t="inlineStr">
        <is>
          <t>3</t>
        </is>
      </c>
      <c r="C95" s="23" t="inlineStr">
        <is>
          <t>Simon Capital</t>
        </is>
      </c>
      <c r="D95" s="20" t="inlineStr">
        <is>
          <t>B</t>
        </is>
      </c>
      <c r="E95" s="20" t="n">
        <v>71</v>
      </c>
      <c r="F95" s="15" t="inlineStr">
        <is>
          <t>Duesseldorf (urspruenglich Bitburg/Bonn-Umfeld, Operations auch Berlin)</t>
        </is>
      </c>
      <c r="G95" s="16" t="inlineStr">
        <is>
          <t>Seed bis Series A und darueber hinaus</t>
        </is>
      </c>
      <c r="H95" s="16" t="inlineStr">
        <is>
          <t>EUR 0,5 bis 10 Mio.</t>
        </is>
      </c>
      <c r="I95" s="16" t="inlineStr">
        <is>
          <t>-</t>
        </is>
      </c>
      <c r="J95" s="16" t="inlineStr">
        <is>
          <t>Dr. Friedrich Droste</t>
        </is>
      </c>
      <c r="K95" s="16" t="inlineStr">
        <is>
          <t>Managing Partner (zweiter Managing Partner: Jan Leicht; Principals: Nico Heinz, Niklas Leske)</t>
        </is>
      </c>
      <c r="L95" s="16" t="inlineStr">
        <is>
          <t>n/a</t>
        </is>
      </c>
      <c r="M95" s="16" t="inlineStr">
        <is>
          <t>Kontaktformular unter https://www.simoncapital.com/ (keine oeffentliche Investment-E-Mail)</t>
        </is>
      </c>
      <c r="N95" s="16" t="inlineStr">
        <is>
          <t>Unter der Productivity-These pitchen: PathWize macht KI-Automatisierung wie bei Neople und Vox.ai ueberhaupt erst produktionsreif, weil deren Modellqualitaet an sauber gelabelten Domaenendaten haengt.</t>
        </is>
      </c>
      <c r="O95" s="16" t="inlineStr">
        <is>
          <t>Solider deutscher Seed-/Series-A-Fonds mit EUR 105 Mio. und mehreren KI-Anwendungsinvestments im Productivity-Cluster (Neople, Vox.ai, Liria), aber ohne Data-Infrastruktur-These und mit dominantem Consumer-/Nachhaltigkeitsrahmen.</t>
        </is>
      </c>
      <c r="P95" s="18" t="inlineStr">
        <is>
          <t>Offen</t>
        </is>
      </c>
      <c r="Q95" s="18" t="inlineStr"/>
      <c r="R95" s="19" t="inlineStr"/>
      <c r="S95" s="19" t="inlineStr"/>
      <c r="T95" s="18" t="inlineStr"/>
      <c r="U95" s="16" t="inlineStr"/>
      <c r="V95" s="16" t="inlineStr"/>
    </row>
    <row r="96">
      <c r="A96" s="22" t="n">
        <v>92</v>
      </c>
      <c r="B96" s="21" t="inlineStr">
        <is>
          <t>3</t>
        </is>
      </c>
      <c r="C96" s="23" t="inlineStr">
        <is>
          <t>Technologiegruenderfonds Sachsen</t>
        </is>
      </c>
      <c r="D96" s="20" t="inlineStr">
        <is>
          <t>B</t>
        </is>
      </c>
      <c r="E96" s="20" t="n">
        <v>71</v>
      </c>
      <c r="F96" s="15" t="inlineStr">
        <is>
          <t>Leipzig (Hainstrasse 4, 04109); Management durch CFH Management GmbH</t>
        </is>
      </c>
      <c r="G96" s="16" t="inlineStr">
        <is>
          <t>Seed und Early Stage (auch sehr fruehe Phasen bei ueberzeugendem Team), Folgefinanzierungen bis Series A</t>
        </is>
      </c>
      <c r="H96" s="16" t="inlineStr">
        <is>
          <t>EUR 100k bis 1 Mio. pro Investment, Follow-on moeglich</t>
        </is>
      </c>
      <c r="I96" s="16" t="inlineStr">
        <is>
          <t>-</t>
        </is>
      </c>
      <c r="J96" s="16" t="inlineStr">
        <is>
          <t>n/a (Investmentmanagement ueber CFH Management GmbH; kein einzelner Ansprechpartner oeffentlich hervorgehoben)</t>
        </is>
      </c>
      <c r="K96" s="16" t="inlineStr">
        <is>
          <t>n/a</t>
        </is>
      </c>
      <c r="L96" s="16" t="inlineStr">
        <is>
          <t>https://www.linkedin.com/company/tgfs/ (Firmenprofil)</t>
        </is>
      </c>
      <c r="M96" s="16" t="inlineStr">
        <is>
          <t>tgfs@tgfs.de, Telefon +49 341 2569630, Hainstrasse 4, 04109 Leipzig</t>
        </is>
      </c>
      <c r="N96" s="16" t="inlineStr">
        <is>
          <t>Nur mit konkretem Sachsen-Bezug ansprechen (zum Beispiel geplantes Labeling-/Operations-Team in Leipzig oder Dresden) und an die Big-Data- und Dev-Tools-Historie rund um Data Virtuality anknuepfen.</t>
        </is>
      </c>
      <c r="O96" s="16" t="inlineStr">
        <is>
          <t>Aktiver Seed-Fonds mit EUR 241 Mio., dritter Fondsgeneration seit 2023 und belegter Data-/Dev-Tools-Historie (Data Virtuality, EntwicklerHeld) - aber die Foerderung ist hart an einen Unternehmenssitz beziehungsweise eine Betriebsstaette in Sachsen gebunden.</t>
        </is>
      </c>
      <c r="P96" s="18" t="inlineStr">
        <is>
          <t>Offen</t>
        </is>
      </c>
      <c r="Q96" s="18" t="inlineStr"/>
      <c r="R96" s="19" t="inlineStr"/>
      <c r="S96" s="19" t="inlineStr"/>
      <c r="T96" s="18" t="inlineStr"/>
      <c r="U96" s="16" t="inlineStr"/>
      <c r="V96" s="16" t="inlineStr"/>
    </row>
    <row r="97">
      <c r="A97" s="22" t="n">
        <v>93</v>
      </c>
      <c r="B97" s="21" t="inlineStr">
        <is>
          <t>3</t>
        </is>
      </c>
      <c r="C97" s="23" t="inlineStr">
        <is>
          <t>Bayern Kapital</t>
        </is>
      </c>
      <c r="D97" s="20" t="inlineStr">
        <is>
          <t>B</t>
        </is>
      </c>
      <c r="E97" s="20" t="n">
        <v>70</v>
      </c>
      <c r="F97" s="15" t="inlineStr">
        <is>
          <t>Landshut</t>
        </is>
      </c>
      <c r="G97" s="16" t="inlineStr">
        <is>
          <t>Seed, Series A, Series B, Series C (Early-Stage- und Later-Stage-Programme, u.a. Seedfonds Bayern, Innovationsfonds EFRE II, Wachstumsfonds)</t>
        </is>
      </c>
      <c r="H97" s="16" t="inlineStr">
        <is>
          <t>250.000 EUR bis 50 Mio. EUR je Unternehmen; Seedfonds Bayern bis 750.000 EUR</t>
        </is>
      </c>
      <c r="I97" s="16" t="inlineStr">
        <is>
          <t>-</t>
        </is>
      </c>
      <c r="J97" s="16" t="inlineStr">
        <is>
          <t>n/a (Investment-Manager-Zuordnung nach Technologiefeld nicht oeffentlich)</t>
        </is>
      </c>
      <c r="K97" s="16" t="inlineStr">
        <is>
          <t>n/a</t>
        </is>
      </c>
      <c r="L97" s="16" t="inlineStr">
        <is>
          <t>n/a</t>
        </is>
      </c>
      <c r="M97" s="16" t="inlineStr">
        <is>
          <t>info@bayernkapital.de, Tel. +49 871 923250, 84028 Landshut</t>
        </is>
      </c>
      <c r="N97" s="16" t="inlineStr">
        <is>
          <t>Erst ansprechen, wenn ein privater Lead steht - dann als kapitalstarker Matching-Co-Investor fuer die AI-Vertikale, idealerweise flankiert von einem bayerischen Standort oder Entwicklungsteam.</t>
        </is>
      </c>
      <c r="O97" s="16" t="inlineStr">
        <is>
          <t>Sehr aktiver und kapitalstarker DACH-Fruehphaseninvestor (1,3 Mrd. EUR AUM, 18 Neuinvestments in 12 Monaten), der AI explizit als Investitionsfeld nennt und Tickets bis 750k EUR im Seed schreibt. Der Haken ist die zwingende Bayern-Bindung.</t>
        </is>
      </c>
      <c r="P97" s="18" t="inlineStr">
        <is>
          <t>Offen</t>
        </is>
      </c>
      <c r="Q97" s="18" t="inlineStr"/>
      <c r="R97" s="19" t="inlineStr"/>
      <c r="S97" s="19" t="inlineStr"/>
      <c r="T97" s="18" t="inlineStr"/>
      <c r="U97" s="16" t="inlineStr"/>
      <c r="V97" s="16" t="inlineStr"/>
    </row>
    <row r="98">
      <c r="A98" s="22" t="n">
        <v>94</v>
      </c>
      <c r="B98" s="21" t="inlineStr">
        <is>
          <t>3</t>
        </is>
      </c>
      <c r="C98" s="23" t="inlineStr">
        <is>
          <t>heal capital</t>
        </is>
      </c>
      <c r="D98" s="20" t="inlineStr">
        <is>
          <t>B</t>
        </is>
      </c>
      <c r="E98" s="20" t="n">
        <v>70</v>
      </c>
      <c r="F98" s="15" t="inlineStr">
        <is>
          <t>Berlin</t>
        </is>
      </c>
      <c r="G98" s="16" t="inlineStr">
        <is>
          <t>Pre-Seed bis Series A</t>
        </is>
      </c>
      <c r="H98" s="16" t="inlineStr">
        <is>
          <t>EUR 1-5 Mio.</t>
        </is>
      </c>
      <c r="I98" s="16" t="inlineStr">
        <is>
          <t>Data-Infra-nah</t>
        </is>
      </c>
      <c r="J98" s="16" t="inlineStr">
        <is>
          <t>Eckhardt Weber</t>
        </is>
      </c>
      <c r="K98" s="16" t="inlineStr">
        <is>
          <t>Founding Managing Partner (zweiter: Christian Lautner, Founding Managing Partner; Founding Partner: Dr. Markus Mueschenich)</t>
        </is>
      </c>
      <c r="L98" s="16" t="inlineStr">
        <is>
          <t>n/a</t>
        </is>
      </c>
      <c r="M98" s="16" t="inlineStr">
        <is>
          <t>Pitch-Formular: https://rs6yq4ccslh.typeform.com/to/ioitIG4d ; Rosenthaler Str. 49, 10178 Berlin</t>
        </is>
      </c>
      <c r="N98" s="16" t="inlineStr">
        <is>
          <t>Mit einem Medical-Imaging-/Klinikdaten-Vertical einsteigen: annotierte Trainingsdaten und Human-in-the-loop-QA fuer regulierte Medizin-KI (Bruecke zu Gleamer, Hypervision Surgical, Apheris).</t>
        </is>
      </c>
      <c r="O98" s="16" t="inlineStr">
        <is>
          <t>Perfekter Stage-/Ticket-Fit (Pre-Seed bis Series A, EUR 1-5 Mio., Berlin) und mit Apheris ein belegtes Data-Infrastruktur-Investment - der Fonds investiert aber ausschliesslich in HealthTech.</t>
        </is>
      </c>
      <c r="P98" s="18" t="inlineStr">
        <is>
          <t>Offen</t>
        </is>
      </c>
      <c r="Q98" s="18" t="inlineStr"/>
      <c r="R98" s="19" t="inlineStr"/>
      <c r="S98" s="19" t="inlineStr"/>
      <c r="T98" s="18" t="inlineStr"/>
      <c r="U98" s="16" t="inlineStr"/>
      <c r="V98" s="16" t="inlineStr"/>
    </row>
    <row r="99">
      <c r="A99" s="22" t="n">
        <v>95</v>
      </c>
      <c r="B99" s="21" t="inlineStr">
        <is>
          <t>3</t>
        </is>
      </c>
      <c r="C99" s="23" t="inlineStr">
        <is>
          <t>STARTHUB Ventures</t>
        </is>
      </c>
      <c r="D99" s="20" t="inlineStr">
        <is>
          <t>B</t>
        </is>
      </c>
      <c r="E99" s="20" t="n">
        <v>70</v>
      </c>
      <c r="F99" s="15" t="inlineStr">
        <is>
          <t>Hamburg</t>
        </is>
      </c>
      <c r="G99" s="16" t="inlineStr">
        <is>
          <t>Pre-Seed (vereinzelt Seed)</t>
        </is>
      </c>
      <c r="H99" s="16" t="inlineStr">
        <is>
          <t>n/a (Pre-Seed-typisch im niedrigen sechsstelligen Bereich)</t>
        </is>
      </c>
      <c r="I99" s="16" t="inlineStr">
        <is>
          <t>-</t>
        </is>
      </c>
      <c r="J99" s="16" t="inlineStr">
        <is>
          <t>Jan Frahnert</t>
        </is>
      </c>
      <c r="K99" s="16" t="inlineStr">
        <is>
          <t>Investor / Partner (weitere: Willem-Alexander Dous als Investor, Sascha Schubert als Venture Advisor)</t>
        </is>
      </c>
      <c r="L99" s="16" t="inlineStr">
        <is>
          <t>n/a</t>
        </is>
      </c>
      <c r="M99" s="16" t="inlineStr">
        <is>
          <t>Kontakt ueber https://www.starthub-ventures.com/ (Kontaktformular)</t>
        </is>
      </c>
      <c r="N99" s="16" t="inlineStr">
        <is>
          <t>Am Logistiknetzwerk andocken: PathWize kann Trainingsdaten fuer Logistik- und Supply-Chain-KI liefern - ein Feld, in dem STARTHUB ueber Boxxport und zero44 direkten Kundenzugang hat.</t>
        </is>
      </c>
      <c r="O99" s="16" t="inlineStr">
        <is>
          <t>Hamburger Pre-Seed-Investor, der AI und B2B-Software ausdruecklich als Fokusfelder nennt und mit ifesca ein KI-Investment belegt; die Investitionsfrequenz und Fondstransparenz sind allerdings schwach.</t>
        </is>
      </c>
      <c r="P99" s="18" t="inlineStr">
        <is>
          <t>Offen</t>
        </is>
      </c>
      <c r="Q99" s="18" t="inlineStr"/>
      <c r="R99" s="19" t="inlineStr"/>
      <c r="S99" s="19" t="inlineStr"/>
      <c r="T99" s="18" t="inlineStr"/>
      <c r="U99" s="16" t="inlineStr"/>
      <c r="V99" s="16" t="inlineStr"/>
    </row>
    <row r="100">
      <c r="A100" s="22" t="n">
        <v>96</v>
      </c>
      <c r="B100" s="21" t="inlineStr">
        <is>
          <t>3</t>
        </is>
      </c>
      <c r="C100" s="23" t="inlineStr">
        <is>
          <t>Atlantis Ventures</t>
        </is>
      </c>
      <c r="D100" s="20" t="inlineStr">
        <is>
          <t>B</t>
        </is>
      </c>
      <c r="E100" s="20" t="n">
        <v>69</v>
      </c>
      <c r="F100" s="15" t="inlineStr">
        <is>
          <t>Muenchen</t>
        </is>
      </c>
      <c r="G100" s="16" t="inlineStr">
        <is>
          <t>Pre-Seed, Seed</t>
        </is>
      </c>
      <c r="H100" s="16" t="inlineStr">
        <is>
          <t>100.000 EUR bis 1,5 Mio. EUR</t>
        </is>
      </c>
      <c r="I100" s="16" t="inlineStr">
        <is>
          <t>Data-Infra-nah</t>
        </is>
      </c>
      <c r="J100" s="16" t="inlineStr">
        <is>
          <t>Finn Theyntzler</t>
        </is>
      </c>
      <c r="K100" s="16" t="inlineStr">
        <is>
          <t>Founder</t>
        </is>
      </c>
      <c r="L100" s="16" t="inlineStr">
        <is>
          <t>n/a</t>
        </is>
      </c>
      <c r="M100" s="16" t="inlineStr">
        <is>
          <t>Ueber Website https://www.atlantis-ventures.com/ ; Pitch-Formular/E-Mail n/a</t>
        </is>
      </c>
      <c r="N100" s="16" t="inlineStr">
        <is>
          <t>Als DACH-SaaS-/DeepTech-Investor mit der B2B-Software-Oekonomik von PathWize ansprechen (wiederkehrende Umsaetze pro Annotationsprojekt) statt mit der Impact-Story.</t>
        </is>
      </c>
      <c r="O100" s="16" t="inlineStr">
        <is>
          <t>Muenchner Pre-Seed-/Seed-Investor mit passendem Ticket von 100k bis 1,5 Mio. EUR und SaaS-/DeepTech-These sowie DACH-Fokus, aber ohne ausgewiesene AI-/Data-Infrastruktur-Spezialisierung. Solider Co-Investor, kein Anker.</t>
        </is>
      </c>
      <c r="P100" s="18" t="inlineStr">
        <is>
          <t>Offen</t>
        </is>
      </c>
      <c r="Q100" s="18" t="inlineStr"/>
      <c r="R100" s="19" t="inlineStr"/>
      <c r="S100" s="19" t="inlineStr"/>
      <c r="T100" s="18" t="inlineStr"/>
      <c r="U100" s="16" t="inlineStr"/>
      <c r="V100" s="16" t="inlineStr"/>
    </row>
    <row r="101">
      <c r="A101" s="22" t="n">
        <v>97</v>
      </c>
      <c r="B101" s="21" t="inlineStr">
        <is>
          <t>3</t>
        </is>
      </c>
      <c r="C101" s="23" t="inlineStr">
        <is>
          <t>Founderful (ehem. Wingman Ventures)</t>
        </is>
      </c>
      <c r="D101" s="20" t="inlineStr">
        <is>
          <t>B</t>
        </is>
      </c>
      <c r="E101" s="20" t="n">
        <v>69</v>
      </c>
      <c r="F101" s="15" t="inlineStr">
        <is>
          <t>Zuerich</t>
        </is>
      </c>
      <c r="G101" s="16" t="inlineStr">
        <is>
          <t>Pre-Seed (erste Finanzierungsrunde), teils Seed</t>
        </is>
      </c>
      <c r="H101" s="16" t="inlineStr">
        <is>
          <t>ca. 1 Mio. USD Pre-Seed, bis 2 Mio. USD Seed</t>
        </is>
      </c>
      <c r="I101" s="16" t="inlineStr">
        <is>
          <t>-</t>
        </is>
      </c>
      <c r="J101" s="16" t="inlineStr">
        <is>
          <t>Alex Stoeckl</t>
        </is>
      </c>
      <c r="K101" s="16" t="inlineStr">
        <is>
          <t>Co-Founder &amp; Partner (zuvor Switzerland Lead bei Creathor Ventures); weitere Co-Founder: Pascal Mathis (GetYourGuide), Lukas Weder (EAT.ch)</t>
        </is>
      </c>
      <c r="L101" s="16" t="inlineStr">
        <is>
          <t>n/a</t>
        </is>
      </c>
      <c r="M101" s="16" t="inlineStr">
        <is>
          <t>Kein oeffentliches Pitch-Formular gefunden; Kontakt ueber founderful.com bzw. LinkedIn (linkedin.com/company/wingman-ag); Buero: Badenerstrasse 60, 8004 Zuerich</t>
        </is>
      </c>
      <c r="N101" s="16" t="inlineStr">
        <is>
          <t>Nur sinnvoll mit Schweizer Anker (CH-Entitaet, ETH/EPFL-Kooperation oder Schweizer Co-Founder) - dann ueber die Computer-Vision-Linie von Ethon AI als 'Trainingsdaten-Layer fuer Industrial AI' andocken.</t>
        </is>
      </c>
      <c r="O101" s="16" t="inlineStr">
        <is>
          <t>Stage-seitig ideal (Lead im ersten institutionellen Check, frischer 140-Mio.-USD-Fonds) und AI/ML sowie Computer Vision sind explizit These - aber der Fonds investiert per Mandat ausschliesslich in Schweizer Startups, was PathWize als deutsches Unternehmen faktisch ausschliesst.</t>
        </is>
      </c>
      <c r="P101" s="18" t="inlineStr">
        <is>
          <t>Offen</t>
        </is>
      </c>
      <c r="Q101" s="18" t="inlineStr"/>
      <c r="R101" s="19" t="inlineStr"/>
      <c r="S101" s="19" t="inlineStr"/>
      <c r="T101" s="18" t="inlineStr"/>
      <c r="U101" s="16" t="inlineStr"/>
      <c r="V101" s="16" t="inlineStr"/>
    </row>
    <row r="102">
      <c r="A102" s="22" t="n">
        <v>98</v>
      </c>
      <c r="B102" s="21" t="inlineStr">
        <is>
          <t>3</t>
        </is>
      </c>
      <c r="C102" s="23" t="inlineStr">
        <is>
          <t>Freigeist Capital</t>
        </is>
      </c>
      <c r="D102" s="20" t="inlineStr">
        <is>
          <t>B</t>
        </is>
      </c>
      <c r="E102" s="20" t="n">
        <v>68</v>
      </c>
      <c r="F102" s="18" t="inlineStr">
        <is>
          <t>Bonn</t>
        </is>
      </c>
      <c r="G102" s="16" t="inlineStr">
        <is>
          <t>Seed und Pre-Series A</t>
        </is>
      </c>
      <c r="H102" s="16" t="inlineStr">
        <is>
          <t>n/a (nicht veröffentlicht); Investment aus eigenem Kapital, dadurch schnelle Entscheidungen</t>
        </is>
      </c>
      <c r="I102" s="16" t="inlineStr">
        <is>
          <t>Data-Infra-nah</t>
        </is>
      </c>
      <c r="J102" s="16" t="inlineStr">
        <is>
          <t>Frank Thelen</t>
        </is>
      </c>
      <c r="K102" s="16" t="inlineStr">
        <is>
          <t>Gründer und CEO, Zuständigkeit Product &amp; Brand (weiterer relevanter Ansprechpartner: Niklas Hebborn, Funding Progression)</t>
        </is>
      </c>
      <c r="L102" s="16" t="inlineStr">
        <is>
          <t>https://www.linkedin.com/in/frank-thelen/</t>
        </is>
      </c>
      <c r="M102" s="16" t="inlineStr">
        <is>
          <t>Kontaktseite: https://freigeist.com/contact/ ; direkte Pitch-E-Mail: n/a</t>
        </is>
      </c>
      <c r="N102" s="16" t="inlineStr">
        <is>
          <t>Über den Robotik-/Physical-AI-Winkel ansprechen: PathWize liefert die annotierten Trainingsdaten, ohne die Freigeist-Investments wie RobCo ihre Modelle nicht trainieren können.</t>
        </is>
      </c>
      <c r="O102" s="16" t="inlineStr">
        <is>
          <t>Freigeist ist ein deutscher Seed-Deep-Tech-Investor mit AI und Robotik als expliziten Fokusfeldern und hoher medialer Sichtbarkeit, tätigt aber nur 1 bis 2 Investments pro Jahr ohne externen Fonds - die Trefferwahrscheinlichkeit ist entsprechend gering.</t>
        </is>
      </c>
      <c r="P102" s="18" t="inlineStr">
        <is>
          <t>Offen</t>
        </is>
      </c>
      <c r="Q102" s="18" t="inlineStr"/>
      <c r="R102" s="19" t="inlineStr"/>
      <c r="S102" s="19" t="inlineStr"/>
      <c r="T102" s="18" t="inlineStr"/>
      <c r="U102" s="16" t="inlineStr"/>
      <c r="V102" s="16" t="inlineStr"/>
    </row>
    <row r="103">
      <c r="A103" s="22" t="n">
        <v>99</v>
      </c>
      <c r="B103" s="21" t="inlineStr">
        <is>
          <t>3</t>
        </is>
      </c>
      <c r="C103" s="23" t="inlineStr">
        <is>
          <t>Heartfelt</t>
        </is>
      </c>
      <c r="D103" s="20" t="inlineStr">
        <is>
          <t>B</t>
        </is>
      </c>
      <c r="E103" s="20" t="n">
        <v>68</v>
      </c>
      <c r="F103" s="15" t="inlineStr">
        <is>
          <t>Berlin</t>
        </is>
      </c>
      <c r="G103" s="16" t="inlineStr">
        <is>
          <t>Pre-Seed / First Cheque (0 auf 1, vor Product-Market-Fit), plus Follow-ons</t>
        </is>
      </c>
      <c r="H103" s="16" t="inlineStr">
        <is>
          <t>EUR 100.000 - 400.000 Initial, Follow-on-Kapazitaet in Folgerunden</t>
        </is>
      </c>
      <c r="I103" s="16" t="inlineStr">
        <is>
          <t>-</t>
        </is>
      </c>
      <c r="J103" s="16" t="inlineStr">
        <is>
          <t>n/a (Team von 9 Investment-Professionals; keine Namen/Rollen auf der Website ausgewiesen)</t>
        </is>
      </c>
      <c r="K103" s="16" t="inlineStr">
        <is>
          <t>n/a</t>
        </is>
      </c>
      <c r="L103" s="16" t="inlineStr">
        <is>
          <t>n/a</t>
        </is>
      </c>
      <c r="M103" s="16" t="inlineStr">
        <is>
          <t>https://pitch.heartfelt.vc (Pitch-Deck-Upload)</t>
        </is>
      </c>
      <c r="N103" s="16" t="inlineStr">
        <is>
          <t>Ueber pitch.heartfelt.vc als First-Cheque-Case einreichen und explizit an das DeepL-Erbe anknuepfen: europaeische AI-Modelle brauchen europaeische, compliance-faehige Trainingsdaten.</t>
        </is>
      </c>
      <c r="O103" s="16" t="inlineStr">
        <is>
          <t>Sektoragnostischer Berliner Pre-Seed-Fonds mit DeepL und Colossyan im Track-Record und offenem, niedrigschwelligem Pitch-Prozess - die kleinen Erst-Tickets (EUR 100-400k) reichen jedoch nicht fuer eine Lead-Rolle.</t>
        </is>
      </c>
      <c r="P103" s="18" t="inlineStr">
        <is>
          <t>Offen</t>
        </is>
      </c>
      <c r="Q103" s="18" t="inlineStr"/>
      <c r="R103" s="19" t="inlineStr"/>
      <c r="S103" s="19" t="inlineStr"/>
      <c r="T103" s="18" t="inlineStr"/>
      <c r="U103" s="16" t="inlineStr"/>
      <c r="V103" s="16" t="inlineStr"/>
    </row>
    <row r="104">
      <c r="A104" s="22" t="n">
        <v>100</v>
      </c>
      <c r="B104" s="21" t="inlineStr">
        <is>
          <t>3</t>
        </is>
      </c>
      <c r="C104" s="23" t="inlineStr">
        <is>
          <t>PT1 Ventures (ehemals PropTech1)</t>
        </is>
      </c>
      <c r="D104" s="20" t="inlineStr">
        <is>
          <t>B</t>
        </is>
      </c>
      <c r="E104" s="20" t="n">
        <v>68</v>
      </c>
      <c r="F104" s="15" t="inlineStr">
        <is>
          <t>Berlin (zusätzlich London)</t>
        </is>
      </c>
      <c r="G104" s="16" t="inlineStr">
        <is>
          <t>Pre-Seed, Seed, Series A</t>
        </is>
      </c>
      <c r="H104" s="16" t="inlineStr">
        <is>
          <t>300.000 - 4 Mio. EUR Erstinvestment</t>
        </is>
      </c>
      <c r="I104" s="16" t="inlineStr">
        <is>
          <t>Data-Infra-nah</t>
        </is>
      </c>
      <c r="J104" s="16" t="inlineStr">
        <is>
          <t>Nikolas Samios</t>
        </is>
      </c>
      <c r="K104" s="16" t="inlineStr">
        <is>
          <t>Managing Partner &amp; Co-Founder (Fokus Seed/Pre-Seed in Real-Asset-Technologien); zweite Managing Partnerin: Anja Rath</t>
        </is>
      </c>
      <c r="L104" s="16" t="inlineStr">
        <is>
          <t>n/a</t>
        </is>
      </c>
      <c r="M104" s="16" t="inlineStr">
        <is>
          <t>Pitch über den 'Pitch us'-Bereich auf pt1.vc</t>
        </is>
      </c>
      <c r="N104" s="16" t="inlineStr">
        <is>
          <t>Vertikal einsteigen: PathWize als Annotationspartner für Gebäude-Scans, Sensor- und Drohnendaten, ohne den ihre Built-World-AI- und Automatisierungs-Portfoliofirmen ihre Modelle nicht trainiert bekommen.</t>
        </is>
      </c>
      <c r="O104" s="16" t="inlineStr">
        <is>
          <t>PT1 nennt 'AI, Robotics &amp; Automation' explizit als eigene Investment-These und passt bei Stage (Pre-Seed bis Series A) und Ticket (300k-4M EUR) sehr gut, bindet AI aber konsequent an die vertikalen Endmärkte Energie, Gebäude und Infrastruktur.</t>
        </is>
      </c>
      <c r="P104" s="18" t="inlineStr">
        <is>
          <t>Offen</t>
        </is>
      </c>
      <c r="Q104" s="18" t="inlineStr"/>
      <c r="R104" s="19" t="inlineStr"/>
      <c r="S104" s="19" t="inlineStr"/>
      <c r="T104" s="18" t="inlineStr"/>
      <c r="U104" s="16" t="inlineStr"/>
      <c r="V104" s="16" t="inlineStr"/>
    </row>
    <row r="105">
      <c r="A105" s="22" t="n">
        <v>101</v>
      </c>
      <c r="B105" s="21" t="inlineStr">
        <is>
          <t>3</t>
        </is>
      </c>
      <c r="C105" s="23" t="inlineStr">
        <is>
          <t>TRUMPF Venture</t>
        </is>
      </c>
      <c r="D105" s="20" t="inlineStr">
        <is>
          <t>B</t>
        </is>
      </c>
      <c r="E105" s="20" t="n">
        <v>68</v>
      </c>
      <c r="F105" s="15" t="inlineStr">
        <is>
          <t>Ditzingen (bei Stuttgart)</t>
        </is>
      </c>
      <c r="G105" s="16" t="inlineStr">
        <is>
          <t>Frühphase: Seed bis Series A (global, Schwerpunkt Europa)</t>
        </is>
      </c>
      <c r="H105" s="16" t="inlineStr">
        <is>
          <t>n/a (Quellenangaben widersprüchlich; typisch Frühphasen-Tickets, Angabe '25–50 TEUR' auf OpenVC unplausibel)</t>
        </is>
      </c>
      <c r="I105" s="16" t="inlineStr">
        <is>
          <t>Data-Infra-nah</t>
        </is>
      </c>
      <c r="J105" s="16" t="inlineStr">
        <is>
          <t>n/a</t>
        </is>
      </c>
      <c r="K105" s="16" t="inlineStr">
        <is>
          <t>n/a</t>
        </is>
      </c>
      <c r="L105" s="16" t="inlineStr">
        <is>
          <t>n/a</t>
        </is>
      </c>
      <c r="M105" s="16" t="inlineStr">
        <is>
          <t>n/a (Kontaktformular über trumpf.com/TRUMPF Venture)</t>
        </is>
      </c>
      <c r="N105" s="16" t="inlineStr">
        <is>
          <t>PathWize als Trainingsdaten-Layer für industrielle Computer Vision und Qualitätsinspektion in der Smart Factory pitchen – mit konkretem TRUMPF-Use-Case (Bauteil-/Schweißnahtannotation).</t>
        </is>
      </c>
      <c r="O105" s="16" t="inlineStr">
        <is>
          <t>Frühphasen-Corporate-VC in Deutschland mit belegten ML-/Computer-Vision-Investments (NNAISENSE, Threedy) und industriellem Vision-Bedarf. Die These ist jedoch stark an den TRUMPF-Kern (Photonik, Fertigung) gebunden, nicht an horizontale Data-Infrastruktur.</t>
        </is>
      </c>
      <c r="P105" s="18" t="inlineStr">
        <is>
          <t>Offen</t>
        </is>
      </c>
      <c r="Q105" s="18" t="inlineStr"/>
      <c r="R105" s="19" t="inlineStr"/>
      <c r="S105" s="19" t="inlineStr"/>
      <c r="T105" s="18" t="inlineStr"/>
      <c r="U105" s="16" t="inlineStr"/>
      <c r="V105" s="16" t="inlineStr"/>
    </row>
    <row r="106">
      <c r="A106" s="22" t="n">
        <v>102</v>
      </c>
      <c r="B106" s="21" t="inlineStr">
        <is>
          <t>3</t>
        </is>
      </c>
      <c r="C106" s="23" t="inlineStr">
        <is>
          <t>Green Generation Fund</t>
        </is>
      </c>
      <c r="D106" s="20" t="inlineStr">
        <is>
          <t>B</t>
        </is>
      </c>
      <c r="E106" s="20" t="n">
        <v>67</v>
      </c>
      <c r="F106" s="15" t="inlineStr">
        <is>
          <t>Berlin</t>
        </is>
      </c>
      <c r="G106" s="16" t="inlineStr">
        <is>
          <t>Pre-Seed bis Series A</t>
        </is>
      </c>
      <c r="H106" s="16" t="inlineStr">
        <is>
          <t>EUR 500k bis EUR 2,5 Mio.</t>
        </is>
      </c>
      <c r="I106" s="16" t="inlineStr">
        <is>
          <t>Data-Infra-nah</t>
        </is>
      </c>
      <c r="J106" s="16" t="inlineStr">
        <is>
          <t>Manon Littek</t>
        </is>
      </c>
      <c r="K106" s="16" t="inlineStr">
        <is>
          <t>Gruenderin / General Partner (nicht auf der aktuell abrufbaren Website belegt - Teamseite liefert 404)</t>
        </is>
      </c>
      <c r="L106" s="16" t="inlineStr">
        <is>
          <t>n/a</t>
        </is>
      </c>
      <c r="M106" s="16" t="inlineStr">
        <is>
          <t>Kontakt-E-Mail auf https://www.ggf.vc (Adresse auf der Seite verschleiert), Zehdenickerstrasse 12c, 10119 Berlin</t>
        </is>
      </c>
      <c r="N106" s="16" t="inlineStr">
        <is>
          <t>Ueber die Impact-Bruecke ansprechen: PathWize als Trainingsdaten-Infrastruktur fuer Agrar-/Energie-Computer-Vision (Anschluss an Orbify und Hexafarms).</t>
        </is>
      </c>
      <c r="O106" s="16" t="inlineStr">
        <is>
          <t>Berliner Pre-Seed-bis-Series-A-Fonds mit passendem Ticket (EUR 0,5-2,5 Mio.) und explizitem AI-Investmentthema, allerdings nur als Enabler fuer Food-, Agrar- und Energiesektoren.</t>
        </is>
      </c>
      <c r="P106" s="18" t="inlineStr">
        <is>
          <t>Offen</t>
        </is>
      </c>
      <c r="Q106" s="18" t="inlineStr"/>
      <c r="R106" s="19" t="inlineStr"/>
      <c r="S106" s="19" t="inlineStr"/>
      <c r="T106" s="18" t="inlineStr"/>
      <c r="U106" s="16" t="inlineStr"/>
      <c r="V106" s="16" t="inlineStr"/>
    </row>
    <row r="107">
      <c r="A107" s="22" t="n">
        <v>103</v>
      </c>
      <c r="B107" s="21" t="inlineStr">
        <is>
          <t>3</t>
        </is>
      </c>
      <c r="C107" s="23" t="inlineStr">
        <is>
          <t>Monkfish Equity</t>
        </is>
      </c>
      <c r="D107" s="20" t="inlineStr">
        <is>
          <t>B</t>
        </is>
      </c>
      <c r="E107" s="20" t="n">
        <v>67</v>
      </c>
      <c r="F107" s="15" t="inlineStr">
        <is>
          <t>Leipzig (c/o SpinLab, Spinnereistrasse 7)</t>
        </is>
      </c>
      <c r="G107" s="16" t="inlineStr">
        <is>
          <t>Pre-Seed und Seed, Folgeinvestments bis Series A/B</t>
        </is>
      </c>
      <c r="H107" s="16" t="inlineStr">
        <is>
          <t>n/a (Micro-VC-Tickets, Website nennt keine Spanne)</t>
        </is>
      </c>
      <c r="I107" s="16" t="inlineStr">
        <is>
          <t>Data-Infra-nah</t>
        </is>
      </c>
      <c r="J107" s="16" t="inlineStr">
        <is>
          <t>Prof. Dr. Stephan Stubner / Peter Vinnemeier</t>
        </is>
      </c>
      <c r="K107" s="16" t="inlineStr">
        <is>
          <t>Managing Partner (Team der vier Gruender-Investoren: Malte, Rolf, Stephan, Peter)</t>
        </is>
      </c>
      <c r="L107" s="16" t="inlineStr">
        <is>
          <t>n/a</t>
        </is>
      </c>
      <c r="M107" s="16" t="inlineStr">
        <is>
          <t>Nur ueber warme Intro aus dem Netzwerk - keine E-Mail und kein Pitch-Formular auf der Website</t>
        </is>
      </c>
      <c r="N107" s="16" t="inlineStr">
        <is>
          <t>Warme Intro ueber das SpinLab-/Leipzig-Oekosystem oder das trivago-Netzwerk suchen und PathWize als kapitaleffizientes, frueh umsatzstarkes B2B-Modell mit Marktplatz-Dynamik positionieren.</t>
        </is>
      </c>
      <c r="O107" s="16" t="inlineStr">
        <is>
          <t>Aktiver deutscher Pre-Seed-/Seed-Micro-VC mit Gruenderhintergrund, schnellen Entscheidungen und schlanken Terms - aber generalistisch ohne dedizierte AI-/Data-Infra-These.</t>
        </is>
      </c>
      <c r="P107" s="18" t="inlineStr">
        <is>
          <t>Offen</t>
        </is>
      </c>
      <c r="Q107" s="18" t="inlineStr"/>
      <c r="R107" s="19" t="inlineStr"/>
      <c r="S107" s="19" t="inlineStr"/>
      <c r="T107" s="18" t="inlineStr"/>
      <c r="U107" s="16" t="inlineStr"/>
      <c r="V107" s="16" t="inlineStr"/>
    </row>
    <row r="108">
      <c r="A108" s="22" t="n">
        <v>104</v>
      </c>
      <c r="B108" s="21" t="inlineStr">
        <is>
          <t>3</t>
        </is>
      </c>
      <c r="C108" s="23" t="inlineStr">
        <is>
          <t>Robert Bosch Venture Capital (Bosch Ventures)</t>
        </is>
      </c>
      <c r="D108" s="20" t="inlineStr">
        <is>
          <t>B</t>
        </is>
      </c>
      <c r="E108" s="20" t="n">
        <v>67</v>
      </c>
      <c r="F108" s="15" t="inlineStr">
        <is>
          <t>Stuttgart (weitere Büros: Frankfurt, Sunnyvale, Boston, Tel Aviv, Shanghai)</t>
        </is>
      </c>
      <c r="G108" s="16" t="inlineStr">
        <is>
          <t>Schwerpunkt Series A bis C, mit Flexibilität für Seed und spätere Runden</t>
        </is>
      </c>
      <c r="H108" s="16" t="inlineStr">
        <is>
          <t>bis zu 25 Mio. EUR pro Unternehmen, Beteiligung bis 25 %</t>
        </is>
      </c>
      <c r="I108" s="16" t="inlineStr">
        <is>
          <t>-</t>
        </is>
      </c>
      <c r="J108" s="16" t="inlineStr">
        <is>
          <t>n/a (Teamseite nicht abrufbar; Einstieg über Stuttgarter Zentrale)</t>
        </is>
      </c>
      <c r="K108" s="16" t="inlineStr">
        <is>
          <t>n/a</t>
        </is>
      </c>
      <c r="L108" s="16" t="inlineStr">
        <is>
          <t>n/a</t>
        </is>
      </c>
      <c r="M108" s="16" t="inlineStr">
        <is>
          <t>Info.RBVC@de.bosch.com (Zentrale Stuttgart)</t>
        </is>
      </c>
      <c r="N108" s="16" t="inlineStr">
        <is>
          <t>Für später vormerken und jetzt schon als strategischen Kunden aufbauen: PathWize als Annotationspartner für Bosch-Sensor- und Fertigungsdaten, mit Kapitalgespräch zur Series A.</t>
        </is>
      </c>
      <c r="O108" s="16" t="inlineStr">
        <is>
          <t>AI und Machine Learning stehen als erstes Fokusfeld der Deep-Tech-These, und Bosch bietet als Konzernmutter einen der größten industriellen Trainingsdaten-Bedarfe Europas als strategisches Asset — der Stage-Schwerpunkt liegt jedoch auf Series A bis C.</t>
        </is>
      </c>
      <c r="P108" s="18" t="inlineStr">
        <is>
          <t>Offen</t>
        </is>
      </c>
      <c r="Q108" s="18" t="inlineStr"/>
      <c r="R108" s="19" t="inlineStr"/>
      <c r="S108" s="19" t="inlineStr"/>
      <c r="T108" s="18" t="inlineStr"/>
      <c r="U108" s="16" t="inlineStr"/>
      <c r="V108" s="16" t="inlineStr"/>
    </row>
    <row r="109">
      <c r="A109" s="22" t="n">
        <v>105</v>
      </c>
      <c r="B109" s="21" t="inlineStr">
        <is>
          <t>3</t>
        </is>
      </c>
      <c r="C109" s="23" t="inlineStr">
        <is>
          <t>Venture Stars GmbH</t>
        </is>
      </c>
      <c r="D109" s="20" t="inlineStr">
        <is>
          <t>B</t>
        </is>
      </c>
      <c r="E109" s="20" t="n">
        <v>67</v>
      </c>
      <c r="F109" s="15" t="inlineStr">
        <is>
          <t>München</t>
        </is>
      </c>
      <c r="G109" s="16" t="inlineStr">
        <is>
          <t>Pre-Seed und Seed</t>
        </is>
      </c>
      <c r="H109" s="16" t="inlineStr">
        <is>
          <t>500.000 – 1,5 Mio. EUR Initial-Ticket</t>
        </is>
      </c>
      <c r="I109" s="16" t="inlineStr">
        <is>
          <t>Data-Infra-nah</t>
        </is>
      </c>
      <c r="J109" s="16" t="inlineStr">
        <is>
          <t>Florian Calmbach</t>
        </is>
      </c>
      <c r="K109" s="16" t="inlineStr">
        <is>
          <t>Managing Partner (neben Martin Junker, Managing Partner; Raphael Budday, Investment Manager)</t>
        </is>
      </c>
      <c r="L109" s="16" t="inlineStr">
        <is>
          <t>n/a</t>
        </is>
      </c>
      <c r="M109" s="16" t="inlineStr">
        <is>
          <t>n/a (Kontakt/Pitch über venture-stars.com)</t>
        </is>
      </c>
      <c r="N109" s="16" t="inlineStr">
        <is>
          <t>Company-Builder-Historie ansprechen: PathWize als operativ skalierbares B2B-Modell positionieren, bei dem Venture Stars mit Manpower bei GTM und Delivery-Aufbau echten Mehrwert liefert.</t>
        </is>
      </c>
      <c r="O109" s="16" t="inlineStr">
        <is>
          <t>Sehr guter Stage-Fit (Pre-Seed/Seed, 500 TEUR–1,5 Mio. EUR, Lead-fähig) in München, und AI wird explizit als Sektor geführt. Das tatsächliche Portfolio ist jedoch energie-/consumerlastig ohne belegte Data-Infrastruktur-Investments.</t>
        </is>
      </c>
      <c r="P109" s="18" t="inlineStr">
        <is>
          <t>Offen</t>
        </is>
      </c>
      <c r="Q109" s="18" t="inlineStr"/>
      <c r="R109" s="19" t="inlineStr"/>
      <c r="S109" s="19" t="inlineStr"/>
      <c r="T109" s="18" t="inlineStr"/>
      <c r="U109" s="16" t="inlineStr"/>
      <c r="V109" s="16" t="inlineStr"/>
    </row>
    <row r="110">
      <c r="A110" s="22" t="n">
        <v>106</v>
      </c>
      <c r="B110" s="21" t="inlineStr">
        <is>
          <t>3</t>
        </is>
      </c>
      <c r="C110" s="23" t="inlineStr">
        <is>
          <t>Target Global</t>
        </is>
      </c>
      <c r="D110" s="20" t="inlineStr">
        <is>
          <t>B</t>
        </is>
      </c>
      <c r="E110" s="20" t="n">
        <v>66</v>
      </c>
      <c r="F110" s="15" t="inlineStr">
        <is>
          <t>Berlin (weitere Investmentbueros London, Tel Aviv, Barcelona)</t>
        </is>
      </c>
      <c r="G110" s="16" t="inlineStr">
        <is>
          <t>Pre-Seed bis Pre-IPO; dedizierte Early Stage Funds (Early Stage Fund II mit EUR 120 Mio., Early Stage Fund III Vintage 2022)</t>
        </is>
      </c>
      <c r="H110" s="16" t="inlineStr">
        <is>
          <t>n/a (Early-Stage-Fonds typischerweise EUR 1 bis 10 Mio.)</t>
        </is>
      </c>
      <c r="I110" s="16" t="inlineStr">
        <is>
          <t>-</t>
        </is>
      </c>
      <c r="J110" s="16" t="inlineStr">
        <is>
          <t>n/a (Team-Seite zum Recherchezeitpunkt nicht abrufbar - 404)</t>
        </is>
      </c>
      <c r="K110" s="16" t="inlineStr">
        <is>
          <t>n/a</t>
        </is>
      </c>
      <c r="L110" s="16" t="inlineStr">
        <is>
          <t>n/a</t>
        </is>
      </c>
      <c r="M110" s="16" t="inlineStr">
        <is>
          <t>Kontakt ueber https://targetglobal.vc/ (keine oeffentliche Pitch-E-Mail auffindbar)</t>
        </is>
      </c>
      <c r="N110" s="16" t="inlineStr">
        <is>
          <t>Ueber die Portfolio-Nachfrageseite argumentieren: Marktplatz- und Fintech-Beteiligungen wie Auto1 und Revolut brauchen laufend gelabelte Daten fuer Betrugs-, Bild- und Dokumentenmodelle - genau das liefert PathWize.</t>
        </is>
      </c>
      <c r="O110" s="16" t="inlineStr">
        <is>
          <t>Grosser Berliner Multi-Stage-Fonds mit dediziertem Early-Stage-Vehikel und AI im Thesentext, aber der Track Record liegt klar bei Fintech, Mobility und Marktplaetzen - nicht bei Data-Infrastruktur.</t>
        </is>
      </c>
      <c r="P110" s="18" t="inlineStr">
        <is>
          <t>Offen</t>
        </is>
      </c>
      <c r="Q110" s="18" t="inlineStr"/>
      <c r="R110" s="19" t="inlineStr"/>
      <c r="S110" s="19" t="inlineStr"/>
      <c r="T110" s="18" t="inlineStr"/>
      <c r="U110" s="16" t="inlineStr"/>
      <c r="V110" s="16" t="inlineStr"/>
    </row>
    <row r="111">
      <c r="A111" s="22" t="n">
        <v>107</v>
      </c>
      <c r="B111" s="21" t="inlineStr">
        <is>
          <t>3</t>
        </is>
      </c>
      <c r="C111" s="23" t="inlineStr">
        <is>
          <t>Caesar Ventures</t>
        </is>
      </c>
      <c r="D111" s="20" t="inlineStr">
        <is>
          <t>B</t>
        </is>
      </c>
      <c r="E111" s="20" t="n">
        <v>65</v>
      </c>
      <c r="F111" s="15" t="inlineStr">
        <is>
          <t>Berlin (zweiter Standort Muenchen)</t>
        </is>
      </c>
      <c r="G111" s="16" t="inlineStr">
        <is>
          <t>Sehr fruehe Phase (Pre-Seed / Seed)</t>
        </is>
      </c>
      <c r="H111" s="16" t="inlineStr">
        <is>
          <t>n/a (nicht auf der Website ausgewiesen)</t>
        </is>
      </c>
      <c r="I111" s="16" t="inlineStr">
        <is>
          <t>-</t>
        </is>
      </c>
      <c r="J111" s="16" t="inlineStr">
        <is>
          <t>Andy (Nachname auf der Website nicht ausgewiesen)</t>
        </is>
      </c>
      <c r="K111" s="16" t="inlineStr">
        <is>
          <t>Partner/Teammitglied, Profil: 'AI founder, tech lead, angel investor' - relevanteste AI-Kompetenz im Team; Co-Founder/Partner sind 'Caro' und 'Gregor'</t>
        </is>
      </c>
      <c r="L111" s="16" t="inlineStr">
        <is>
          <t>n/a</t>
        </is>
      </c>
      <c r="M111" s="16" t="inlineStr">
        <is>
          <t>pitch@caesar.vc (Pitches), contact@caesar.vc (allgemein), Schoenhauser Allee 8, 10119 Berlin</t>
        </is>
      </c>
      <c r="N111" s="16" t="inlineStr">
        <is>
          <t>Direkt an pitch@caesar.vc mit dem Pre-Seed-Case und dem AI-Operator-Angle - der 'AI founder' im Team ist der natuerliche Sponsor fuer ein Trainingsdaten-Geschaeft.</t>
        </is>
      </c>
      <c r="O111" s="16" t="inlineStr">
        <is>
          <t>Sehr frueher, sektoragnostischer Berliner Investor mit AI-Kompetenz im Team und AI-Portfolio (freshflow, Optimeleon) - ideal fuer eine Pre-Seed-Runde, aber ohne Data-Infra-Spezialisierung und mit unbekanntem Fondsvolumen.</t>
        </is>
      </c>
      <c r="P111" s="18" t="inlineStr">
        <is>
          <t>Offen</t>
        </is>
      </c>
      <c r="Q111" s="18" t="inlineStr"/>
      <c r="R111" s="19" t="inlineStr"/>
      <c r="S111" s="19" t="inlineStr"/>
      <c r="T111" s="18" t="inlineStr"/>
      <c r="U111" s="16" t="inlineStr"/>
      <c r="V111" s="16" t="inlineStr"/>
    </row>
    <row r="112">
      <c r="A112" s="22" t="n">
        <v>108</v>
      </c>
      <c r="B112" s="21" t="inlineStr">
        <is>
          <t>3</t>
        </is>
      </c>
      <c r="C112" s="23" t="inlineStr">
        <is>
          <t>XAnge</t>
        </is>
      </c>
      <c r="D112" s="20" t="inlineStr">
        <is>
          <t>B</t>
        </is>
      </c>
      <c r="E112" s="20" t="n">
        <v>65</v>
      </c>
      <c r="F112" s="15" t="inlineStr">
        <is>
          <t>Paris (Büros: Berlin, Brüssel)</t>
        </is>
      </c>
      <c r="G112" s="16" t="inlineStr">
        <is>
          <t>Frühphase (Seed und Series A)</t>
        </is>
      </c>
      <c r="H112" s="16" t="inlineStr">
        <is>
          <t>n/a (auf der Website nicht ausgewiesen)</t>
        </is>
      </c>
      <c r="I112" s="16" t="inlineStr">
        <is>
          <t>Data-Infra-nah</t>
        </is>
      </c>
      <c r="J112" s="16" t="inlineStr">
        <is>
          <t>Cyril Bertrand</t>
        </is>
      </c>
      <c r="K112" s="16" t="inlineStr">
        <is>
          <t>Managing Partner (Website-belegt)</t>
        </is>
      </c>
      <c r="L112" s="16" t="inlineStr">
        <is>
          <t>n/a</t>
        </is>
      </c>
      <c r="M112" s="16" t="inlineStr">
        <is>
          <t>Bereich 'Send your pitch' auf https://www.xange.vc/ ; Berliner Büro: Linienstraße 86, 10119 Berlin</t>
        </is>
      </c>
      <c r="N112" s="16" t="inlineStr">
        <is>
          <t>Über das Berliner Büro und das Thema digitale Souveränität einsteigen: europäische AI-Modelle dürfen ihre Trainingsdaten nicht in Drittstaaten annotieren lassen. EU AI Act als regulatorischen Rückenwind für die Nachfrage nach dokumentierten, auditierbaren Labeling-Prozessen darstellen.</t>
        </is>
      </c>
      <c r="O112" s="16" t="inlineStr">
        <is>
          <t>Frühphasenfonds mit echtem Berliner Büro und damit gutem DACH-Zugang; die These 'digitale Souveränität' passt argumentativ zu europäischer Trainingsdaten-Infrastruktur. Der belegbare AI-/Data-Track-Record ist jedoch dünn, das Portfolio wirkt stark FinTech- und Consumer-getrieben.</t>
        </is>
      </c>
      <c r="P112" s="18" t="inlineStr">
        <is>
          <t>Offen</t>
        </is>
      </c>
      <c r="Q112" s="18" t="inlineStr"/>
      <c r="R112" s="19" t="inlineStr"/>
      <c r="S112" s="19" t="inlineStr"/>
      <c r="T112" s="18" t="inlineStr"/>
      <c r="U112" s="16" t="inlineStr"/>
      <c r="V112" s="16" t="inlineStr"/>
    </row>
    <row r="113">
      <c r="A113" s="22" t="n">
        <v>109</v>
      </c>
      <c r="B113" s="21" t="inlineStr">
        <is>
          <t>3</t>
        </is>
      </c>
      <c r="C113" s="23" t="inlineStr">
        <is>
          <t>MIG Capital</t>
        </is>
      </c>
      <c r="D113" s="20" t="inlineStr">
        <is>
          <t>B</t>
        </is>
      </c>
      <c r="E113" s="20" t="n">
        <v>64</v>
      </c>
      <c r="F113" s="15" t="inlineStr">
        <is>
          <t>München (Ismaninger Straße 102)</t>
        </is>
      </c>
      <c r="G113" s="16" t="inlineStr">
        <is>
          <t>Seed-Phase, Folgefinanzierungen über die Unternehmensentwicklung</t>
        </is>
      </c>
      <c r="H113" s="16" t="inlineStr">
        <is>
          <t>typisch ca. 1 Mio. EUR Erstinvestment</t>
        </is>
      </c>
      <c r="I113" s="16" t="inlineStr">
        <is>
          <t>-</t>
        </is>
      </c>
      <c r="J113" s="16" t="inlineStr">
        <is>
          <t>n/a</t>
        </is>
      </c>
      <c r="K113" s="16" t="inlineStr">
        <is>
          <t>n/a (Team auf der Website nicht namentlich mit Rollen ausgewiesen)</t>
        </is>
      </c>
      <c r="L113" s="16" t="inlineStr">
        <is>
          <t>n/a</t>
        </is>
      </c>
      <c r="M113" s="16" t="inlineStr">
        <is>
          <t>https://www.mig-fonds.de/ (Pitch-Einreichung), https://www.mig.ag/en/team/</t>
        </is>
      </c>
      <c r="N113" s="16" t="inlineStr">
        <is>
          <t>PathWize als Deep-Tech-Enabler positionieren: hochspezialisierte Fachannotation für wissenschaftliche und medizinische Datensätze, die MIG-Portfoliofirmen im Life-Science- und Robotikbereich (Inbolt) direkt benötigen.</t>
        </is>
      </c>
      <c r="O113" s="16" t="inlineStr">
        <is>
          <t>MIG ist ein etablierter Münchner Seed-Investor mit passendem Ticket von rund 1 Mio. EUR und deutschem Fokus, hat aber eine Life-Science- und Hardware-Deep-Tech-These ohne Software-/Data-Infrastruktur-Schwerpunkt. AI erscheint nur vereinzelt (Inbolt, Luffy AI) im Portfolio.</t>
        </is>
      </c>
      <c r="P113" s="18" t="inlineStr">
        <is>
          <t>Offen</t>
        </is>
      </c>
      <c r="Q113" s="18" t="inlineStr"/>
      <c r="R113" s="19" t="inlineStr"/>
      <c r="S113" s="19" t="inlineStr"/>
      <c r="T113" s="18" t="inlineStr"/>
      <c r="U113" s="16" t="inlineStr"/>
      <c r="V113" s="16" t="inlineStr"/>
    </row>
    <row r="114">
      <c r="A114" s="22" t="n">
        <v>110</v>
      </c>
      <c r="B114" s="21" t="inlineStr">
        <is>
          <t>3</t>
        </is>
      </c>
      <c r="C114" s="23" t="inlineStr">
        <is>
          <t>Notion Capital</t>
        </is>
      </c>
      <c r="D114" s="20" t="inlineStr">
        <is>
          <t>B</t>
        </is>
      </c>
      <c r="E114" s="20" t="n">
        <v>64</v>
      </c>
      <c r="F114" s="15" t="inlineStr">
        <is>
          <t>London</t>
        </is>
      </c>
      <c r="G114" s="16" t="inlineStr">
        <is>
          <t>Early Stage (Seed und Series A), Begleitung von ca. 1 Mio. bis über 100 Mio. USD Umsatz</t>
        </is>
      </c>
      <c r="H114" s="16" t="inlineStr">
        <is>
          <t>n/a (auf der Startseite nicht ausgewiesen)</t>
        </is>
      </c>
      <c r="I114" s="16" t="inlineStr">
        <is>
          <t>Data-Infra-nah</t>
        </is>
      </c>
      <c r="J114" s="16" t="inlineStr">
        <is>
          <t>Stephen Chandler</t>
        </is>
      </c>
      <c r="K114" s="16" t="inlineStr">
        <is>
          <t>Managing Partner / Mitgründer (nicht in dieser Recherche über die Website verifiziert)</t>
        </is>
      </c>
      <c r="L114" s="16" t="inlineStr">
        <is>
          <t>n/a</t>
        </is>
      </c>
      <c r="M114" s="16" t="inlineStr">
        <is>
          <t>Pitch-Einreichung per Typeform über https://www.notioncapital.com/</t>
        </is>
      </c>
      <c r="N114" s="16" t="inlineStr">
        <is>
          <t>An die Kategorie 'Labour' andocken: AI-getriebene Services-Software ist genau das Modell, das PathWize selbst darstellt - menschliche Arbeit, durch Software skaliert und margenseitig verbessert. Diese Framing-Brücke explizit bauen und mit Bruttomargenentwicklung sowie Automatisierungsquote belegen. Quantum Systems als potenzieller Kunde für annotierte Luftbilddaten nennen.</t>
        </is>
      </c>
      <c r="O114" s="16" t="inlineStr">
        <is>
          <t>Etablierter, kapitalstarker B2B-Software-Fonds (ca. 1 Mrd. USD AUM) mit klarer AI-Kategorisierung in der These und einem deutschen Investment (Quantum Systems, München). Der Schwerpunkt liegt jedoch auf SaaS-Anwendungen und AI-getriebenen Services, nicht auf Dateninfrastruktur - PathWize wäre ein Randthema.</t>
        </is>
      </c>
      <c r="P114" s="18" t="inlineStr">
        <is>
          <t>Offen</t>
        </is>
      </c>
      <c r="Q114" s="18" t="inlineStr"/>
      <c r="R114" s="19" t="inlineStr"/>
      <c r="S114" s="19" t="inlineStr"/>
      <c r="T114" s="18" t="inlineStr"/>
      <c r="U114" s="16" t="inlineStr"/>
      <c r="V114" s="16" t="inlineStr"/>
    </row>
    <row r="115">
      <c r="A115" s="22" t="n">
        <v>111</v>
      </c>
      <c r="B115" s="21" t="inlineStr">
        <is>
          <t>3</t>
        </is>
      </c>
      <c r="C115" s="23" t="inlineStr">
        <is>
          <t>Verve Ventures</t>
        </is>
      </c>
      <c r="D115" s="20" t="inlineStr">
        <is>
          <t>B</t>
        </is>
      </c>
      <c r="E115" s="20" t="n">
        <v>64</v>
      </c>
      <c r="F115" s="15" t="inlineStr">
        <is>
          <t>Zuerich (+ Lausanne, Berlin, Paris)</t>
        </is>
      </c>
      <c r="G115" s="16" t="inlineStr">
        <is>
          <t>Seed bis Series C, Schwerpunkt Seed und Series A</t>
        </is>
      </c>
      <c r="H115" s="16" t="inlineStr">
        <is>
          <t>durchschnittlich ca. 1 Mio. CHF Erstticket, bis 5 Mio. CHF ueber die Lifetime</t>
        </is>
      </c>
      <c r="I115" s="16" t="inlineStr">
        <is>
          <t>-</t>
        </is>
      </c>
      <c r="J115" s="16" t="inlineStr">
        <is>
          <t>Lukas Weber</t>
        </is>
      </c>
      <c r="K115" s="16" t="inlineStr">
        <is>
          <t>Co-Founder / Partner (Mitgruender Steffen Wagner; ca. 15 Partner insgesamt)</t>
        </is>
      </c>
      <c r="L115" s="16" t="inlineStr">
        <is>
          <t>n/a</t>
        </is>
      </c>
      <c r="M115" s="16" t="inlineStr">
        <is>
          <t>Kontaktformular auf https://www.verve-ventures.com/; Berliner Buero vorhanden</t>
        </is>
      </c>
      <c r="N115" s="16" t="inlineStr">
        <is>
          <t>Als Co-Investor neben einem deutschen Lead ansprechen und die Labeling-Nachfrage der eigenen Computer-Vision-Beteiligung Verity als konkreten Anknuepfungspunkt nennen.</t>
        </is>
      </c>
      <c r="O115" s="16" t="inlineStr">
        <is>
          <t>Seed-/Series-A-Tickets von ca. 1 Mio. CHF und ein Berliner Buero passen, aber die Deep-Tech-These ist auf Photonik, Quantum, Health und Mobility ausgerichtet - Data-Labeling ist thesenfern.</t>
        </is>
      </c>
      <c r="P115" s="18" t="inlineStr">
        <is>
          <t>Offen</t>
        </is>
      </c>
      <c r="Q115" s="18" t="inlineStr"/>
      <c r="R115" s="19" t="inlineStr"/>
      <c r="S115" s="19" t="inlineStr"/>
      <c r="T115" s="18" t="inlineStr"/>
      <c r="U115" s="16" t="inlineStr"/>
      <c r="V115" s="16" t="inlineStr"/>
    </row>
    <row r="116">
      <c r="A116" s="22" t="n">
        <v>112</v>
      </c>
      <c r="B116" s="21" t="inlineStr">
        <is>
          <t>3</t>
        </is>
      </c>
      <c r="C116" s="23" t="inlineStr">
        <is>
          <t>1745 Ventures</t>
        </is>
      </c>
      <c r="D116" s="20" t="inlineStr">
        <is>
          <t>B</t>
        </is>
      </c>
      <c r="E116" s="20" t="n">
        <v>63</v>
      </c>
      <c r="F116" s="15" t="inlineStr">
        <is>
          <t>New York City</t>
        </is>
      </c>
      <c r="G116" s="16" t="inlineStr">
        <is>
          <t>Seed und Early Stage, selektiv Series A</t>
        </is>
      </c>
      <c r="H116" s="16" t="inlineStr">
        <is>
          <t>n/a</t>
        </is>
      </c>
      <c r="I116" s="16" t="inlineStr">
        <is>
          <t>Data-Infra-nah</t>
        </is>
      </c>
      <c r="J116" s="16" t="inlineStr">
        <is>
          <t>Urs Cete</t>
        </is>
      </c>
      <c r="K116" s="16" t="inlineStr">
        <is>
          <t>Co-Founder &amp; Managing Partner (deutschsprachig, zuvor Managing Partner BDMI); Co-Founder Sim Blaustein</t>
        </is>
      </c>
      <c r="L116" s="16" t="inlineStr">
        <is>
          <t>https://www.linkedin.com/in/urscete</t>
        </is>
      </c>
      <c r="M116" s="16" t="inlineStr">
        <is>
          <t>info@1745ventures.com; Kontaktformular auf https://www.1745ventures.com/</t>
        </is>
      </c>
      <c r="N116" s="16" t="inlineStr">
        <is>
          <t>Ueber den deutschsprachigen Managing Partner Urs Cete und die Bertelsmann-Verbindung einsteigen und PathWize als Trainingsdaten-Lieferant fuer die AI-Transformation der Bertelsmann-Medienassets rahmen.</t>
        </is>
      </c>
      <c r="O116" s="16" t="inlineStr">
        <is>
          <t>Seed-faehiger Fonds mit Enterprise-SaaS- und AI/ML-Plattform-These sowie deutschem LP-Anker ueber Bertelsmann, was den Zugang erleichtert. Der Investmentschwerpunkt liegt jedoch klar auf US-Media und Fintech, nicht auf AI-Dateninfrastruktur - trotz der Listung auf vcgermany.de ist der Sitz New York.</t>
        </is>
      </c>
      <c r="P116" s="18" t="inlineStr">
        <is>
          <t>Offen</t>
        </is>
      </c>
      <c r="Q116" s="18" t="inlineStr"/>
      <c r="R116" s="19" t="inlineStr"/>
      <c r="S116" s="19" t="inlineStr"/>
      <c r="T116" s="18" t="inlineStr"/>
      <c r="U116" s="16" t="inlineStr"/>
      <c r="V116" s="16" t="inlineStr"/>
    </row>
    <row r="117">
      <c r="A117" s="22" t="n">
        <v>113</v>
      </c>
      <c r="B117" s="21" t="inlineStr">
        <is>
          <t>3</t>
        </is>
      </c>
      <c r="C117" s="23" t="inlineStr">
        <is>
          <t>DTCP</t>
        </is>
      </c>
      <c r="D117" s="20" t="inlineStr">
        <is>
          <t>B</t>
        </is>
      </c>
      <c r="E117" s="20" t="n">
        <v>63</v>
      </c>
      <c r="F117" s="15" t="inlineStr">
        <is>
          <t>Hamburg (weitere Standorte u.a. Luxemburg, London, USA)</t>
        </is>
      </c>
      <c r="G117" s="16" t="inlineStr">
        <is>
          <t>Growth / Expansion, im Regelfall Series B bis Late Stage; Zielunternehmen mit mehreren Mio. EUR ARR</t>
        </is>
      </c>
      <c r="H117" s="16" t="inlineStr">
        <is>
          <t>ca. 20 bis 25 Mio. USD pro Unternehmen im Growth-Equity-Fonds</t>
        </is>
      </c>
      <c r="I117" s="16" t="inlineStr">
        <is>
          <t>Data-Infra-nah</t>
        </is>
      </c>
      <c r="J117" s="16" t="inlineStr">
        <is>
          <t>n/a (Partnernamen werden auf der Website nicht öffentlich einzeln ausgewiesen)</t>
        </is>
      </c>
      <c r="K117" s="16" t="inlineStr">
        <is>
          <t>n/a</t>
        </is>
      </c>
      <c r="L117" s="16" t="inlineStr">
        <is>
          <t>n/a</t>
        </is>
      </c>
      <c r="M117" s="16" t="inlineStr">
        <is>
          <t>Kontaktseite auf https://www.dtcp.capital/ ; öffentliche Pitch-E-Mail: n/a</t>
        </is>
      </c>
      <c r="N117" s="16" t="inlineStr">
        <is>
          <t>Jetzt nur als Beziehungsaufbau für spätere Runden ansprechen - PathWize als künftiger Data-Layer im Umfeld der Dremio-/Dash0-These auf die Watchlist setzen.</t>
        </is>
      </c>
      <c r="O117" s="16" t="inlineStr">
        <is>
          <t>Thesen- und Portfolio-Fit ist exzellent (Dremio, Dash0, LeanIX - Data- und DevOps-Infrastruktur), aber DTCP investiert erst ab Series B in umsatzstarke Scale-ups und ist damit für die aktuelle Pre-Seed-/Seed-/Series-A-Suche kein passender Adressat.</t>
        </is>
      </c>
      <c r="P117" s="18" t="inlineStr">
        <is>
          <t>Offen</t>
        </is>
      </c>
      <c r="Q117" s="18" t="inlineStr"/>
      <c r="R117" s="19" t="inlineStr"/>
      <c r="S117" s="19" t="inlineStr"/>
      <c r="T117" s="18" t="inlineStr"/>
      <c r="U117" s="16" t="inlineStr"/>
      <c r="V117" s="16" t="inlineStr"/>
    </row>
    <row r="118">
      <c r="A118" s="22" t="n">
        <v>114</v>
      </c>
      <c r="B118" s="21" t="inlineStr">
        <is>
          <t>3</t>
        </is>
      </c>
      <c r="C118" s="23" t="inlineStr">
        <is>
          <t>Global Founders Capital</t>
        </is>
      </c>
      <c r="D118" s="20" t="inlineStr">
        <is>
          <t>B</t>
        </is>
      </c>
      <c r="E118" s="20" t="n">
        <v>63</v>
      </c>
      <c r="F118" s="15" t="inlineStr">
        <is>
          <t>Berlin</t>
        </is>
      </c>
      <c r="G118" s="16" t="inlineStr">
        <is>
          <t>Sektoragnostisch und stage-agnostisch, Schwerpunkt sehr früh ('invest early and across sectors, supporting founders from day one')</t>
        </is>
      </c>
      <c r="H118" s="16" t="inlineStr">
        <is>
          <t>n/a</t>
        </is>
      </c>
      <c r="I118" s="16" t="inlineStr">
        <is>
          <t>Data-Infra-nah</t>
        </is>
      </c>
      <c r="J118" s="16" t="inlineStr">
        <is>
          <t>Cedric Asselman</t>
        </is>
      </c>
      <c r="K118" s="16" t="inlineStr">
        <is>
          <t>Investment Partner (weitere Investment Partners: David Sainteff, Fabricio Pettena; Gründer: Oliver Samwer)</t>
        </is>
      </c>
      <c r="L118" s="16" t="inlineStr">
        <is>
          <t>n/a</t>
        </is>
      </c>
      <c r="M118" s="16" t="inlineStr">
        <is>
          <t>n/a (keine öffentliche Pitch-Adresse; Zugang praktisch nur über Warm Intro/LinkedIn der Partner)</t>
        </is>
      </c>
      <c r="N118" s="16" t="inlineStr">
        <is>
          <t>Über einen Warm Intro zu einem Investment Partner (Asselman/Sainteff) mit knallharten Traction- und Effizienzkennzahlen – GFC bewertet primär Wachstum und Kapitaleffizienz, nicht Technologie-Narrative.</t>
        </is>
      </c>
      <c r="O118" s="16" t="inlineStr">
        <is>
          <t>Berliner Multi-Stage-Investor mit Frühphasen-Bekenntnis und breiter Software-Kompetenz, der grundsätzlich Seed-Runden anführen kann. Die Investitionstätigkeit ist seit dem Marktabschwung aber deutlich reduziert und die Website liefert weder Portfolio noch Kontakt.</t>
        </is>
      </c>
      <c r="P118" s="18" t="inlineStr">
        <is>
          <t>Offen</t>
        </is>
      </c>
      <c r="Q118" s="18" t="inlineStr"/>
      <c r="R118" s="19" t="inlineStr"/>
      <c r="S118" s="19" t="inlineStr"/>
      <c r="T118" s="18" t="inlineStr"/>
      <c r="U118" s="16" t="inlineStr"/>
      <c r="V118" s="16" t="inlineStr"/>
    </row>
    <row r="119">
      <c r="A119" s="22" t="n">
        <v>115</v>
      </c>
      <c r="B119" s="21" t="inlineStr">
        <is>
          <t>3</t>
        </is>
      </c>
      <c r="C119" s="23" t="inlineStr">
        <is>
          <t>Next47</t>
        </is>
      </c>
      <c r="D119" s="20" t="inlineStr">
        <is>
          <t>B</t>
        </is>
      </c>
      <c r="E119" s="20" t="n">
        <v>63</v>
      </c>
      <c r="F119" s="15" t="inlineStr">
        <is>
          <t>Muenchen (+ Palo Alto, Tel Aviv)</t>
        </is>
      </c>
      <c r="G119" s="16" t="inlineStr">
        <is>
          <t>Schwerpunkt Series B; teils Series A und Expansion-Stage. Kein Pre-Seed/Seed</t>
        </is>
      </c>
      <c r="H119" s="16" t="inlineStr">
        <is>
          <t>n/a (Wachstumstickets, typisch zweistellige Mio. USD)</t>
        </is>
      </c>
      <c r="I119" s="17" t="inlineStr">
        <is>
          <t>DIREKT: Encord – Wettbewerbskonflikt pruefen</t>
        </is>
      </c>
      <c r="J119" s="16" t="inlineStr">
        <is>
          <t>n/a (kein namentlich belegbarer Data-Infra-Lead auffindbar)</t>
        </is>
      </c>
      <c r="K119" s="16" t="inlineStr">
        <is>
          <t>n/a</t>
        </is>
      </c>
      <c r="L119" s="16" t="inlineStr">
        <is>
          <t>n/a</t>
        </is>
      </c>
      <c r="M119" s="16" t="inlineStr">
        <is>
          <t>Kontaktformular auf next47.com; kein oeffentliches Pitch-Postfach belegbar</t>
        </is>
      </c>
      <c r="N119" s="16" t="inlineStr">
        <is>
          <t>Jetzt nur als Beziehungsaufbau fuer die spaetere Series B ansprechen - oder ueber die Siemens-Industriekunden als potenziellen Labeling-Abnehmer statt als Investor.</t>
        </is>
      </c>
      <c r="O119" s="16" t="inlineStr">
        <is>
          <t>Thesenseitig ideal - Next47 hat mit Encord einen echten Data-Labeling-Player finanziert und versteht Enterprise-AI-Daten -, aber der Series-B+-Fokus liegt zwei Runden hinter PathWize.</t>
        </is>
      </c>
      <c r="P119" s="18" t="inlineStr">
        <is>
          <t>Offen</t>
        </is>
      </c>
      <c r="Q119" s="18" t="inlineStr"/>
      <c r="R119" s="19" t="inlineStr"/>
      <c r="S119" s="19" t="inlineStr"/>
      <c r="T119" s="18" t="inlineStr"/>
      <c r="U119" s="16" t="inlineStr"/>
      <c r="V119" s="16" t="inlineStr"/>
    </row>
    <row r="120">
      <c r="A120" s="22" t="n">
        <v>116</v>
      </c>
      <c r="B120" s="21" t="inlineStr">
        <is>
          <t>3</t>
        </is>
      </c>
      <c r="C120" s="23" t="inlineStr">
        <is>
          <t>BMW i Ventures</t>
        </is>
      </c>
      <c r="D120" s="20" t="inlineStr">
        <is>
          <t>B</t>
        </is>
      </c>
      <c r="E120" s="20" t="n">
        <v>62</v>
      </c>
      <c r="F120" s="15" t="inlineStr">
        <is>
          <t>Mountain View (Kalifornien), Bueros in San Francisco und Muenchen</t>
        </is>
      </c>
      <c r="G120" s="16" t="inlineStr">
        <is>
          <t>Series A, Series B (vereinzelt spaete Seed-Runden)</t>
        </is>
      </c>
      <c r="H120" s="16" t="inlineStr">
        <is>
          <t>typischerweise einstelliger Mio.-USD-Bereich pro Investment (nicht offiziell ausgewiesen)</t>
        </is>
      </c>
      <c r="I120" s="16" t="inlineStr">
        <is>
          <t>-</t>
        </is>
      </c>
      <c r="J120" s="16" t="inlineStr">
        <is>
          <t>n/a</t>
        </is>
      </c>
      <c r="K120" s="16" t="inlineStr">
        <is>
          <t>n/a</t>
        </is>
      </c>
      <c r="L120" s="16" t="inlineStr">
        <is>
          <t>n/a</t>
        </is>
      </c>
      <c r="M120" s="16" t="inlineStr">
        <is>
          <t>Kontaktformular auf bmwiventures.com; Office Mountain View, 2606 Bayshore Parkway</t>
        </is>
      </c>
      <c r="N120" s="16" t="inlineStr">
        <is>
          <t>Erst ab Series A ansprechen und mit konkreten Referenzen aus Automotive-/Perception-Datenannotation plus Zugang zum BMW-Produktionsnetzwerk argumentieren.</t>
        </is>
      </c>
      <c r="O120" s="16" t="inlineStr">
        <is>
          <t>Frischer 300-Mio.-USD-Fonds mit explizitem AI-Fokus und Muenchner Praesenz, aber Einstiegspunkt liegt erst bei Series A/B und die These ist stark auf Mobilitaet und Fertigung zugeschnitten.</t>
        </is>
      </c>
      <c r="P120" s="18" t="inlineStr">
        <is>
          <t>Offen</t>
        </is>
      </c>
      <c r="Q120" s="18" t="inlineStr"/>
      <c r="R120" s="19" t="inlineStr"/>
      <c r="S120" s="19" t="inlineStr"/>
      <c r="T120" s="18" t="inlineStr"/>
      <c r="U120" s="16" t="inlineStr"/>
      <c r="V120" s="16" t="inlineStr"/>
    </row>
    <row r="121">
      <c r="A121" s="22" t="n">
        <v>117</v>
      </c>
      <c r="B121" s="21" t="inlineStr">
        <is>
          <t>3</t>
        </is>
      </c>
      <c r="C121" s="23" t="inlineStr">
        <is>
          <t>endeit</t>
        </is>
      </c>
      <c r="D121" s="20" t="inlineStr">
        <is>
          <t>B</t>
        </is>
      </c>
      <c r="E121" s="20" t="n">
        <v>62</v>
      </c>
      <c r="F121" s="15" t="inlineStr">
        <is>
          <t>Amsterdam (DACH-Büro: Hamburg; weiteres Büro: Stockholm)</t>
        </is>
      </c>
      <c r="G121" s="16" t="inlineStr">
        <is>
          <t>Späte Series A bis frühe Series B (Scale-up-/Growth-Phase)</t>
        </is>
      </c>
      <c r="H121" s="16" t="inlineStr">
        <is>
          <t>ca. 5 bis 20 Mio. EUR pro Investment (frühere Angabe: 7 bis 15 Mio. EUR Wachstumskapital)</t>
        </is>
      </c>
      <c r="I121" s="16" t="inlineStr">
        <is>
          <t>-</t>
        </is>
      </c>
      <c r="J121" s="16" t="inlineStr">
        <is>
          <t>n/a (Hamburger DACH-Team; einzelne Partnernamen auf der Website nicht eindeutig zugeordnet)</t>
        </is>
      </c>
      <c r="K121" s="16" t="inlineStr">
        <is>
          <t>n/a</t>
        </is>
      </c>
      <c r="L121" s="16" t="inlineStr">
        <is>
          <t>n/a</t>
        </is>
      </c>
      <c r="M121" s="16" t="inlineStr">
        <is>
          <t>info@endeit.de (Hamburg, Colonnaden 41, 20354 Hamburg, +49 40 8740 7981) bzw. info@endeit.com</t>
        </is>
      </c>
      <c r="N121" s="16" t="inlineStr">
        <is>
          <t>Als Series-A/B-Zielinvestor vormerken und schon jetzt über das Hamburger Büro Beziehung aufbauen, mit General Intuition als Beleg dafür, dass Endeit den Trainingsdaten-Engpass kennt.</t>
        </is>
      </c>
      <c r="O121" s="16" t="inlineStr">
        <is>
          <t>Endeit hat eine explizite AI-enabled-These, ein Hamburger DACH-Büro und mit General Intuition ein echtes Foundation-Model-Investment, investiert aber erst ab später Series A mit Tickets von 5 bis 20 Mio. EUR - zu spät für die aktuelle Runde.</t>
        </is>
      </c>
      <c r="P121" s="18" t="inlineStr">
        <is>
          <t>Offen</t>
        </is>
      </c>
      <c r="Q121" s="18" t="inlineStr"/>
      <c r="R121" s="19" t="inlineStr"/>
      <c r="S121" s="19" t="inlineStr"/>
      <c r="T121" s="18" t="inlineStr"/>
      <c r="U121" s="16" t="inlineStr"/>
      <c r="V121" s="16" t="inlineStr"/>
    </row>
    <row r="122">
      <c r="A122" s="22" t="n">
        <v>118</v>
      </c>
      <c r="B122" s="21" t="inlineStr">
        <is>
          <t>3</t>
        </is>
      </c>
      <c r="C122" s="23" t="inlineStr">
        <is>
          <t>LocalGlobe / Phoenix Court</t>
        </is>
      </c>
      <c r="D122" s="20" t="inlineStr">
        <is>
          <t>B</t>
        </is>
      </c>
      <c r="E122" s="20" t="n">
        <v>62</v>
      </c>
      <c r="F122" s="15" t="inlineStr">
        <is>
          <t>London</t>
        </is>
      </c>
      <c r="G122" s="16" t="inlineStr">
        <is>
          <t>Pre-Seed und Seed (LocalGlobe); Latitude fuer Series B+</t>
        </is>
      </c>
      <c r="H122" s="16" t="inlineStr">
        <is>
          <t>ca. 250 Tsd. - 2 Mio. GBP</t>
        </is>
      </c>
      <c r="I122" s="16" t="inlineStr">
        <is>
          <t>-</t>
        </is>
      </c>
      <c r="J122" s="16" t="inlineStr">
        <is>
          <t>n/a (kein dedizierter Data-Infra- oder AI-Partner auf der Website ausgewiesen)</t>
        </is>
      </c>
      <c r="K122" s="16" t="inlineStr">
        <is>
          <t>n/a</t>
        </is>
      </c>
      <c r="L122" s="16" t="inlineStr">
        <is>
          <t>n/a</t>
        </is>
      </c>
      <c r="M122" s="16" t="inlineStr">
        <is>
          <t>Kein oeffentliches Pitch-Formular; Buero 2 Brill Place, London NW1 1DX; Kontakt ueber phoenixcourt.vc</t>
        </is>
      </c>
      <c r="N122" s="16" t="inlineStr">
        <is>
          <t>Nur ueber warme Einfuehrung sinnvoll - Aufhaenger waere Faculty als Enterprise-AI-Referenz und PathWize als europaeische Alternative zu US-Labeling-Anbietern.</t>
        </is>
      </c>
      <c r="O122" s="16" t="inlineStr">
        <is>
          <t>Stage und Ticketgroesse passen, aber LocalGlobe ist ein Generalist ohne AI-/Data-Infra-These und ohne belegte MLOps- oder Trainingsdaten-Investments; zudem nur 3-4 Neuinvestments in 2025/2026.</t>
        </is>
      </c>
      <c r="P122" s="18" t="inlineStr">
        <is>
          <t>Offen</t>
        </is>
      </c>
      <c r="Q122" s="18" t="inlineStr"/>
      <c r="R122" s="19" t="inlineStr"/>
      <c r="S122" s="19" t="inlineStr"/>
      <c r="T122" s="18" t="inlineStr"/>
      <c r="U122" s="16" t="inlineStr"/>
      <c r="V122" s="16" t="inlineStr"/>
    </row>
    <row r="123">
      <c r="A123" s="22" t="n">
        <v>119</v>
      </c>
      <c r="B123" s="21" t="inlineStr">
        <is>
          <t>3</t>
        </is>
      </c>
      <c r="C123" s="23" t="inlineStr">
        <is>
          <t>rethink ventures</t>
        </is>
      </c>
      <c r="D123" s="20" t="inlineStr">
        <is>
          <t>B</t>
        </is>
      </c>
      <c r="E123" s="20" t="n">
        <v>61</v>
      </c>
      <c r="F123" s="15" t="inlineStr">
        <is>
          <t>München</t>
        </is>
      </c>
      <c r="G123" s="16" t="inlineStr">
        <is>
          <t>Seed, Series A</t>
        </is>
      </c>
      <c r="H123" s="16" t="inlineStr">
        <is>
          <t>n/a (nicht publiziert)</t>
        </is>
      </c>
      <c r="I123" s="16" t="inlineStr">
        <is>
          <t>Data-Infra-nah</t>
        </is>
      </c>
      <c r="J123" s="16" t="inlineStr">
        <is>
          <t>Jens-Philipp Klein</t>
        </is>
      </c>
      <c r="K123" s="16" t="inlineStr">
        <is>
          <t>Co-Founder &amp; Partner (gemeinsam mit Matthias Schanze Gründer des 50-Mio.-EUR-Fonds)</t>
        </is>
      </c>
      <c r="L123" s="16" t="inlineStr">
        <is>
          <t>n/a</t>
        </is>
      </c>
      <c r="M123" s="16" t="inlineStr">
        <is>
          <t>'Get in touch' auf rethinkventures.com</t>
        </is>
      </c>
      <c r="N123" s="16" t="inlineStr">
        <is>
          <t>Mit dem driveblocks-Argument einsteigen: PathWize liefert die annotierten Sensor- und Perception-Datensätze, an denen europäische Autonomie-Startups im Portfolio typischerweise am längsten hängen.</t>
        </is>
      </c>
      <c r="O123" s="16" t="inlineStr">
        <is>
          <t>Der Sektorfokus Mobility/Autonomie ist zwar kein AI-Infrastruktur-Mandat, aber genau der Markt, in dem annotierte Sensordaten geschäftskritisch sind — driveblocks und Nautica belegen das im eigenen Portfolio. Stage und DACH-Zugang passen.</t>
        </is>
      </c>
      <c r="P123" s="18" t="inlineStr">
        <is>
          <t>Offen</t>
        </is>
      </c>
      <c r="Q123" s="18" t="inlineStr"/>
      <c r="R123" s="19" t="inlineStr"/>
      <c r="S123" s="19" t="inlineStr"/>
      <c r="T123" s="18" t="inlineStr"/>
      <c r="U123" s="16" t="inlineStr"/>
      <c r="V123" s="16" t="inlineStr"/>
    </row>
  </sheetData>
  <autoFilter ref="A4:V123"/>
  <mergeCells count="2">
    <mergeCell ref="A2:V2"/>
    <mergeCell ref="A1:V1"/>
  </mergeCells>
  <conditionalFormatting sqref="P5:P123">
    <cfRule type="cellIs" priority="1" operator="equal" dxfId="0">
      <formula>"Abgesagt"</formula>
    </cfRule>
    <cfRule type="cellIs" priority="2" operator="equal" dxfId="1">
      <formula>"Term Sheet"</formula>
    </cfRule>
  </conditionalFormatting>
  <dataValidations count="3">
    <dataValidation sqref="P5:P123" showDropDown="0" showInputMessage="0" showErrorMessage="0" allowBlank="1" type="list">
      <formula1>"Offen,Recherche,Intro gesucht,Angeschrieben,Follow-up,Call vereinbart,In Due Diligence,Term Sheet,Abgesagt,Zurueckgestellt"</formula1>
    </dataValidation>
    <dataValidation sqref="Q5:Q123" showDropDown="0" showInputMessage="0" showErrorMessage="0" allowBlank="1" type="list">
      <formula1>"E-Mail,LinkedIn,Warm Intro,Pitch-Formular,Event,Telefon"</formula1>
    </dataValidation>
    <dataValidation sqref="T5:T123" showDropDown="0" showInputMessage="0" showErrorMessage="0" allowBlank="1" type="list">
      <formula1>"Ja,Nein,Ausstehend"</formula1>
    </dataValidation>
  </dataValidation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F8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6" customWidth="1" min="3" max="3"/>
    <col width="7" customWidth="1" min="4" max="4"/>
    <col width="14" customWidth="1" min="5" max="5"/>
    <col width="7" customWidth="1" min="6" max="6"/>
    <col width="14" customWidth="1" min="7" max="7"/>
    <col width="22" customWidth="1" min="8" max="8"/>
    <col width="12" customWidth="1" min="9" max="9"/>
    <col width="20" customWidth="1" min="10" max="10"/>
    <col width="24" customWidth="1" min="11" max="11"/>
    <col width="12" customWidth="1" min="12" max="12"/>
    <col width="42" customWidth="1" min="13" max="13"/>
    <col width="40" customWidth="1" min="14" max="14"/>
    <col width="34" customWidth="1" min="15" max="15"/>
    <col width="32" customWidth="1" min="16" max="16"/>
    <col width="22" customWidth="1" min="17" max="17"/>
    <col width="20" customWidth="1" min="18" max="18"/>
    <col width="30" customWidth="1" min="19" max="19"/>
    <col width="30" customWidth="1" min="20" max="20"/>
    <col width="48" customWidth="1" min="21" max="21"/>
    <col width="34" customWidth="1" min="22" max="22"/>
    <col width="46" customWidth="1" min="23" max="23"/>
    <col width="9" customWidth="1" min="24" max="24"/>
    <col width="9" customWidth="1" min="25" max="25"/>
    <col width="11" customWidth="1" min="26" max="26"/>
    <col width="11" customWidth="1" min="27" max="27"/>
    <col width="9" customWidth="1" min="28" max="28"/>
    <col width="11" customWidth="1" min="29" max="29"/>
    <col width="20" customWidth="1" min="30" max="30"/>
    <col width="28" customWidth="1" min="31" max="31"/>
    <col width="46" customWidth="1" min="32" max="32"/>
  </cols>
  <sheetData>
    <row r="1" ht="28" customHeight="1">
      <c r="A1" s="1" t="inlineStr">
        <is>
          <t>Tier A – Kernziele (Score &gt;= 75)</t>
        </is>
      </c>
    </row>
    <row r="2" ht="18" customHeight="1">
      <c r="A2" s="2" t="inlineStr">
        <is>
          <t>Explizite AI-/Data-These und passende Phase. Hier zuerst starten.</t>
        </is>
      </c>
    </row>
    <row r="4" ht="34" customHeight="1">
      <c r="A4" s="11" t="inlineStr">
        <is>
          <t>Rang</t>
        </is>
      </c>
      <c r="B4" s="11" t="inlineStr">
        <is>
          <t>VC / Fonds</t>
        </is>
      </c>
      <c r="C4" s="11" t="inlineStr">
        <is>
          <t>Tier</t>
        </is>
      </c>
      <c r="D4" s="11" t="inlineStr">
        <is>
          <t>Score</t>
        </is>
      </c>
      <c r="E4" s="11" t="inlineStr">
        <is>
          <t>Stadt</t>
        </is>
      </c>
      <c r="F4" s="11" t="inlineStr">
        <is>
          <t>Land</t>
        </is>
      </c>
      <c r="G4" s="11" t="inlineStr">
        <is>
          <t>Typ</t>
        </is>
      </c>
      <c r="H4" s="11" t="inlineStr">
        <is>
          <t>Stage-Fokus</t>
        </is>
      </c>
      <c r="I4" s="11" t="inlineStr">
        <is>
          <t>Leads Runden?</t>
        </is>
      </c>
      <c r="J4" s="11" t="inlineStr">
        <is>
          <t>Ticket-Size</t>
        </is>
      </c>
      <c r="K4" s="11" t="inlineStr">
        <is>
          <t>Fondsgroesse / AUM</t>
        </is>
      </c>
      <c r="L4" s="11" t="inlineStr">
        <is>
          <t>AI/Data-Fokus</t>
        </is>
      </c>
      <c r="M4" s="11" t="inlineStr">
        <is>
          <t>Sektor-These</t>
        </is>
      </c>
      <c r="N4" s="11" t="inlineStr">
        <is>
          <t>Portfolio AI / Data-Infra</t>
        </is>
      </c>
      <c r="O4" s="11" t="inlineStr">
        <is>
          <t>Data-Labeling-Relevanz</t>
        </is>
      </c>
      <c r="P4" s="11" t="inlineStr">
        <is>
          <t>Labeling-Signal</t>
        </is>
      </c>
      <c r="Q4" s="11" t="inlineStr">
        <is>
          <t>Relevanter Partner</t>
        </is>
      </c>
      <c r="R4" s="11" t="inlineStr">
        <is>
          <t>Rolle</t>
        </is>
      </c>
      <c r="S4" s="11" t="inlineStr">
        <is>
          <t>LinkedIn</t>
        </is>
      </c>
      <c r="T4" s="11" t="inlineStr">
        <is>
          <t>Kontakt</t>
        </is>
      </c>
      <c r="U4" s="11" t="inlineStr">
        <is>
          <t>Fit-Begruendung</t>
        </is>
      </c>
      <c r="V4" s="11" t="inlineStr">
        <is>
          <t>Red Flags</t>
        </is>
      </c>
      <c r="W4" s="11" t="inlineStr">
        <is>
          <t>Outreach-Angle</t>
        </is>
      </c>
      <c r="X4" s="11" t="inlineStr">
        <is>
          <t>Stage (30)</t>
        </is>
      </c>
      <c r="Y4" s="11" t="inlineStr">
        <is>
          <t>These (30)</t>
        </is>
      </c>
      <c r="Z4" s="11" t="inlineStr">
        <is>
          <t>Portfolio (20)</t>
        </is>
      </c>
      <c r="AA4" s="11" t="inlineStr">
        <is>
          <t>Aktivitaet (10)</t>
        </is>
      </c>
      <c r="AB4" s="11" t="inlineStr">
        <is>
          <t>Geo (10)</t>
        </is>
      </c>
      <c r="AC4" s="11" t="inlineStr">
        <is>
          <t>Konfidenz</t>
        </is>
      </c>
      <c r="AD4" s="11" t="inlineStr">
        <is>
          <t>Herkunft</t>
        </is>
      </c>
      <c r="AE4" s="11" t="inlineStr">
        <is>
          <t>Website</t>
        </is>
      </c>
      <c r="AF4" s="11" t="inlineStr">
        <is>
          <t>Quellen</t>
        </is>
      </c>
    </row>
    <row r="5">
      <c r="A5" s="12" t="n">
        <v>1</v>
      </c>
      <c r="B5" s="14" t="inlineStr">
        <is>
          <t>Air Street Capital</t>
        </is>
      </c>
      <c r="C5" s="13" t="inlineStr">
        <is>
          <t>A</t>
        </is>
      </c>
      <c r="D5" s="13" t="n">
        <v>98</v>
      </c>
      <c r="E5" s="15" t="inlineStr">
        <is>
          <t>London</t>
        </is>
      </c>
      <c r="F5" s="18" t="inlineStr">
        <is>
          <t>UK</t>
        </is>
      </c>
      <c r="G5" s="15" t="inlineStr">
        <is>
          <t>VC (Solo-GP)</t>
        </is>
      </c>
      <c r="H5" s="16" t="inlineStr">
        <is>
          <t>Pre-Seed / Seed (fuehrt Runden an), selektiv Growth bis 25 Mio. USD</t>
        </is>
      </c>
      <c r="I5" s="15" t="inlineStr">
        <is>
          <t>Ja - fuehrt Early-Stage-Runden explizit an</t>
        </is>
      </c>
      <c r="J5" s="16" t="inlineStr">
        <is>
          <t>0,5-15 Mio. USD Erstticket, Growth bis 25 Mio. USD</t>
        </is>
      </c>
      <c r="K5" s="16" t="inlineStr">
        <is>
          <t>232 Mio. USD (Fund III, Maerz 2026); Fund II 121 Mio., Fund I 17 Mio. USD</t>
        </is>
      </c>
      <c r="L5" s="18" t="inlineStr">
        <is>
          <t>Ja</t>
        </is>
      </c>
      <c r="M5" s="16" t="inlineStr">
        <is>
          <t>Ausschliesslich AI-first Companies, bei denen AI das Produkt ist. Vier Felder: Software, Science, Physical World, neu Defence. Investiert in Nordamerika und Europa.</t>
        </is>
      </c>
      <c r="N5" s="16" t="inlineStr">
        <is>
          <t>V7 (Computer-Vision-Trainingsdatenplattform), Chroma (Vector DB), Lambda (GPU-Cloud), Crusoe (AI-Infra), poolside, Contextual.ai, Kradle (Evals), Synthesia, Black Forest Labs, Interloom (DE)</t>
        </is>
      </c>
      <c r="O5" s="16" t="inlineStr">
        <is>
          <t>Sehr hoch - V7 Labs ist ein direktes Trainingsdaten-/Annotation-Investment; Nathan Benaich versteht den Trainingsdaten-Markt aus dem State-of-AI-Report</t>
        </is>
      </c>
      <c r="P5" s="16" t="inlineStr">
        <is>
          <t>DIREKT: V7 – Wettbewerbskonflikt pruefen</t>
        </is>
      </c>
      <c r="Q5" s="16" t="inlineStr">
        <is>
          <t>Nathan Benaich</t>
        </is>
      </c>
      <c r="R5" s="16" t="inlineStr">
        <is>
          <t>Founder &amp; Solo General Partner, Autor 'State of AI Report'</t>
        </is>
      </c>
      <c r="S5" s="16" t="inlineStr">
        <is>
          <t>n/a</t>
        </is>
      </c>
      <c r="T5" s="16" t="inlineStr">
        <is>
          <t>Kein oeffentliches Pitch-Formular gefunden; Kontakt via LinkedIn (linkedin.com/company/airstreetcapital) oder X @airstreet</t>
        </is>
      </c>
      <c r="U5" s="16" t="inlineStr">
        <is>
          <t>Reiner AI-first-Fonds mit frischem 232-Mio.-USD-Fonds, der Pre-Seed/Seed anfuehrt und mit V7 bereits ein Trainingsdaten-Investment haelt - thesenseitig praktisch deckungsgleich mit PathWize.</t>
        </is>
      </c>
      <c r="V5" s="16" t="inlineStr">
        <is>
          <t>V7 Labs im Portfolio kann als direkter Wettbewerber einen Interessenkonflikt ausloesen; Solo-GP mit sehr hoher Deal-Selektivitaet; kein oeffentlicher Kontaktweg; Schwerpunkt eher US/UK als DACH.</t>
        </is>
      </c>
      <c r="W5" s="16" t="inlineStr">
        <is>
          <t>Warmer Intro ueber das Air-Street-Netzwerk mit der These, dass Europa nach V7 einen eigenen Human-in-the-loop-Trainingsdaten-Layer mit DACH-Enterprise-Zugang braucht.</t>
        </is>
      </c>
      <c r="X5" s="18" t="n">
        <v>30</v>
      </c>
      <c r="Y5" s="18" t="n">
        <v>30</v>
      </c>
      <c r="Z5" s="18" t="n">
        <v>20</v>
      </c>
      <c r="AA5" s="18" t="n">
        <v>10</v>
      </c>
      <c r="AB5" s="18" t="n">
        <v>8</v>
      </c>
      <c r="AC5" s="18" t="inlineStr">
        <is>
          <t>Hoch</t>
        </is>
      </c>
      <c r="AD5" s="15" t="inlineStr">
        <is>
          <t>Bestandsliste</t>
        </is>
      </c>
      <c r="AE5" s="16" t="inlineStr">
        <is>
          <t>https://www.airstreet.com/</t>
        </is>
      </c>
      <c r="AF5" s="16" t="inlineStr">
        <is>
          <t>https://www.airstreet.com/, https://www.airstreet.com/portfolio, https://press.airstreet.com/p/fund-iii, https://tech.eu/2026/03/23/nathan-benaich-s-air-street-raises-232m-fund-iii-becoming-europe-s-largest-solo-gp-venture-firm/</t>
        </is>
      </c>
    </row>
    <row r="6">
      <c r="A6" s="12" t="n">
        <v>2</v>
      </c>
      <c r="B6" s="14" t="inlineStr">
        <is>
          <t>Crane Venture Partners</t>
        </is>
      </c>
      <c r="C6" s="13" t="inlineStr">
        <is>
          <t>A</t>
        </is>
      </c>
      <c r="D6" s="13" t="n">
        <v>97</v>
      </c>
      <c r="E6" s="15" t="inlineStr">
        <is>
          <t>London (weitere Standorte San Francisco, New York, Singapur, Bangalore)</t>
        </is>
      </c>
      <c r="F6" s="18" t="inlineStr">
        <is>
          <t>UK</t>
        </is>
      </c>
      <c r="G6" s="18" t="inlineStr">
        <is>
          <t>VC</t>
        </is>
      </c>
      <c r="H6" s="16" t="inlineStr">
        <is>
          <t>Inception / Pre-Seed bis Seed, teils Series A</t>
        </is>
      </c>
      <c r="I6" s="15" t="inlineStr">
        <is>
          <t>Ja - fuehrt Seed-Runden an (z.B. SRE.ai 7,2 Mio. USD Seed 2025)</t>
        </is>
      </c>
      <c r="J6" s="16" t="inlineStr">
        <is>
          <t>ca. 1-3 Mio. USD; durchschnittliche Seed-Runde im Portfolio 4,66 Mio. USD</t>
        </is>
      </c>
      <c r="K6" s="16" t="inlineStr">
        <is>
          <t>ca. 450 Mio. USD AUM (Stand Sep 2025, u.a. Partnerschaft mit MassMutual Ventures); Fund II 140 Mio. USD (2022)</t>
        </is>
      </c>
      <c r="L6" s="18" t="inlineStr">
        <is>
          <t>Ja</t>
        </is>
      </c>
      <c r="M6" s="16" t="inlineStr">
        <is>
          <t>'Builders of the world's digital infrastructure' - SaaS, Open Source, Data, Machine Learning und Developer Tools; Fokus auf komplexe Dateninfrastruktur statt breiter B2B-Software, Europa und APAC</t>
        </is>
      </c>
      <c r="N6" s="16" t="inlineStr">
        <is>
          <t>Encord (Data-Annotation-, Curation- und Labeling-Plattform), PyannoteAI (Speaker Diarization / Audio-Labeling), Laminar, SRE.ai, Qure.ai, Axiom (Data)</t>
        </is>
      </c>
      <c r="O6" s="16" t="inlineStr">
        <is>
          <t>Sehr hoch - Crane ist seit dem 4,5-Mio.-USD-Seed von Encord investiert und hat bis zur Series C (60 Mio. USD, Feb 2026) nachgezogen; kennt den Annotation-Markt aus erster Hand</t>
        </is>
      </c>
      <c r="P6" s="16" t="inlineStr">
        <is>
          <t>DIREKT: Encord – Wettbewerbskonflikt pruefen</t>
        </is>
      </c>
      <c r="Q6" s="16" t="inlineStr">
        <is>
          <t>Max Chapman</t>
        </is>
      </c>
      <c r="R6" s="16" t="inlineStr">
        <is>
          <t>Principal / Investor mit Remit Data- und AI-Infrastruktur (zuvor Sierra Ventures, dort Enterprise-Data/AI-Infra)</t>
        </is>
      </c>
      <c r="S6" s="16" t="inlineStr">
        <is>
          <t>https://www.linkedin.com/in/max-chapman-343a0a134/</t>
        </is>
      </c>
      <c r="T6" s="16" t="inlineStr">
        <is>
          <t>https://crane.vc/contact</t>
        </is>
      </c>
      <c r="U6" s="16" t="inlineStr">
        <is>
          <t>Crane investiert ausschliesslich Seed in Data-/ML-Infrastruktur und Dev Tools und hat mit Encord die wohl relevanteste europaeische Annotation-Company von Seed bis Series C begleitet - maximale Domaenenkompetenz fuer PathWize.</t>
        </is>
      </c>
      <c r="V6" s="16" t="inlineStr">
        <is>
          <t>Encord ist ein direkter Wettbewerber im Data-Labeling - hoher Konfliktrisiko-Faktor, Crane wird eine klare Differenzierung verlangen; UK-lastig, DACH-Deals selten.</t>
        </is>
      </c>
      <c r="W6" s="16" t="inlineStr">
        <is>
          <t>Max Chapman direkt mit einer scharfen Abgrenzung zu Encord ansprechen: welchen Teil des Trainingsdaten-Stacks PathWize besetzt, den Encord strukturell nicht bedient.</t>
        </is>
      </c>
      <c r="X6" s="18" t="n">
        <v>30</v>
      </c>
      <c r="Y6" s="18" t="n">
        <v>30</v>
      </c>
      <c r="Z6" s="18" t="n">
        <v>20</v>
      </c>
      <c r="AA6" s="18" t="n">
        <v>9</v>
      </c>
      <c r="AB6" s="18" t="n">
        <v>8</v>
      </c>
      <c r="AC6" s="18" t="inlineStr">
        <is>
          <t>Hoch</t>
        </is>
      </c>
      <c r="AD6" s="15" t="inlineStr">
        <is>
          <t>Bestandsliste</t>
        </is>
      </c>
      <c r="AE6" s="16" t="inlineStr">
        <is>
          <t>https://crane.vc/</t>
        </is>
      </c>
      <c r="AF6" s="16" t="inlineStr">
        <is>
          <t>https://crane.vc/, https://crane.vc/people/max-chapman/, https://crane.vc/company/encord/, https://tracxn.com/d/venture-capital/crane-venture-partners/__GAcjnOxmtv2VgpuP0X-GIJHlrgVyxoJTbD2g18bblRw, https://www.globenewswire.com/news-release/2025/08/20/3136456/0/en/SRE-ai-Raises-7-2-Million-Seed-Round-to-Redefine-Enterprise-DevOps-for-the-AI-Era-Backed-by-Salesforce-Ventures-and-Crane-Venture-Partners.html</t>
        </is>
      </c>
    </row>
    <row r="7">
      <c r="A7" s="12" t="n">
        <v>3</v>
      </c>
      <c r="B7" s="14" t="inlineStr">
        <is>
          <t>Earlybird Venture Capital</t>
        </is>
      </c>
      <c r="C7" s="13" t="inlineStr">
        <is>
          <t>A</t>
        </is>
      </c>
      <c r="D7" s="13" t="n">
        <v>97</v>
      </c>
      <c r="E7" s="15" t="inlineStr">
        <is>
          <t>Berlin (Büros München, London, Mailand)</t>
        </is>
      </c>
      <c r="F7" s="15" t="inlineStr">
        <is>
          <t>Deutschland</t>
        </is>
      </c>
      <c r="G7" s="15" t="inlineStr">
        <is>
          <t>Early-Stage Venture Capital</t>
        </is>
      </c>
      <c r="H7" s="16" t="inlineStr">
        <is>
          <t>Pre-Seed (ca. 20%), Seed (ca. 60%), Series A (ca. 20%)</t>
        </is>
      </c>
      <c r="I7" s="15" t="inlineStr">
        <is>
          <t>Ja (führt Pre-Seed- bis Series-A-Runden, Ownership-Modell)</t>
        </is>
      </c>
      <c r="J7" s="16" t="inlineStr">
        <is>
          <t>Erstinvestments bis 12 Mio. EUR</t>
        </is>
      </c>
      <c r="K7" s="16" t="inlineStr">
        <is>
          <t>2,5 Mrd. EUR AUM; Fund VIII 2026 mit 360 Mio. EUR geschlossen (größter Fonds der Firmengeschichte)</t>
        </is>
      </c>
      <c r="L7" s="18" t="inlineStr">
        <is>
          <t>Ja</t>
        </is>
      </c>
      <c r="M7" s="16" t="inlineStr">
        <is>
          <t>Fund VIII mit drei expliziten Schwerpunkten: AI-Applications, Software-Infrastruktur und Foundation Models sowie DeepTech/Hardware; Investment in technische Teams vor der Kategoriebildung</t>
        </is>
      </c>
      <c r="N7" s="16" t="inlineStr">
        <is>
          <t>Black Forest Labs (Foundation Models), Aleph Alpha, DeepCode, SpAItial AI, Sintra AI, Arago, Porters, Rivia</t>
        </is>
      </c>
      <c r="O7" s="16" t="inlineStr">
        <is>
          <t>Sehr hoch - Software-Infrastruktur und Foundation Models sind erklärte Fund-VIII-Schwerpunkte; Portfoliounternehmen wie Black Forest Labs und Aleph Alpha sind unmittelbare Abnehmer hochwertiger Trainingsdaten</t>
        </is>
      </c>
      <c r="P7" s="16" t="inlineStr">
        <is>
          <t>-</t>
        </is>
      </c>
      <c r="Q7" s="16" t="inlineStr">
        <is>
          <t>Dr. Andre Retterath</t>
        </is>
      </c>
      <c r="R7" s="16" t="inlineStr">
        <is>
          <t>Partner, leitet die AI- und Infrastruktur-Practice (seit 2017 bei Earlybird)</t>
        </is>
      </c>
      <c r="S7" s="16" t="inlineStr">
        <is>
          <t>n/a</t>
        </is>
      </c>
      <c r="T7" s="16" t="inlineStr">
        <is>
          <t>https://earlybird.com/contact-us (Kontaktformular)</t>
        </is>
      </c>
      <c r="U7" s="16" t="inlineStr">
        <is>
          <t>Earlybird nennt AI-Applications und Software-Infrastruktur als zwei von drei Kernsäulen des frisch geschlossenen 360-Mio.-EUR-Fund-VIII und investiert genau in der Pre-Seed-bis-Series-A-Spanne von PathWize. Mit Black Forest Labs und Aleph Alpha sitzen direkte Trainingsdaten-Abnehmer im Portfolio, und mit Andre Retterath gibt es einen dedizierten AI-Infrastruktur-Partner.</t>
        </is>
      </c>
      <c r="V7" s="16" t="inlineStr">
        <is>
          <t>Hohe Selektivität und Präferenz für tief technische Gründerteams; Ownership-Modell bedeutet vergleichsweise hohe Anteilsforderungen; starker Fokus auf Modell-/Infrastrukturebene, Service-lastige Labeling-Modelle müssen als Produkt argumentiert werden</t>
        </is>
      </c>
      <c r="W7" s="16" t="inlineStr">
        <is>
          <t>Andre Retterath direkt mit einer datengetriebenen These ansprechen: PathWize liefert die Human-in-the-Loop-Trainingsdatenschicht, die Earlybird-Portfoliofirmen wie Black Forest Labs und Aleph Alpha für Modell-Feintuning und Evaluation brauchen.</t>
        </is>
      </c>
      <c r="X7" s="18" t="n">
        <v>30</v>
      </c>
      <c r="Y7" s="18" t="n">
        <v>30</v>
      </c>
      <c r="Z7" s="18" t="n">
        <v>17</v>
      </c>
      <c r="AA7" s="18" t="n">
        <v>10</v>
      </c>
      <c r="AB7" s="18" t="n">
        <v>10</v>
      </c>
      <c r="AC7" s="18" t="inlineStr">
        <is>
          <t>Hoch</t>
        </is>
      </c>
      <c r="AD7" s="15" t="inlineStr">
        <is>
          <t>Bestandsliste</t>
        </is>
      </c>
      <c r="AE7" s="16" t="inlineStr">
        <is>
          <t>https://earlybird.com/</t>
        </is>
      </c>
      <c r="AF7" s="16" t="inlineStr">
        <is>
          <t>https://earlybird.com/, https://techfundingnews.com/earlybird-360m-fund-viii-ownership-model-ai-deeptech/, https://vcwire.tech/2026/05/06/earlybird-venture-capital-closes-eighth-early-stage-fund-at-e360m/, https://www.vestbee.com/insights/articles/earlybird-secures-360-m-fund</t>
        </is>
      </c>
    </row>
    <row r="8">
      <c r="A8" s="12" t="n">
        <v>4</v>
      </c>
      <c r="B8" s="14" t="inlineStr">
        <is>
          <t>Picus Capital</t>
        </is>
      </c>
      <c r="C8" s="13" t="inlineStr">
        <is>
          <t>A</t>
        </is>
      </c>
      <c r="D8" s="13" t="n">
        <v>96</v>
      </c>
      <c r="E8" s="15" t="inlineStr">
        <is>
          <t>München</t>
        </is>
      </c>
      <c r="F8" s="15" t="inlineStr">
        <is>
          <t>Deutschland</t>
        </is>
      </c>
      <c r="G8" s="15" t="inlineStr">
        <is>
          <t>VC (Evergreen-Struktur, seit 2015)</t>
        </is>
      </c>
      <c r="H8" s="16" t="inlineStr">
        <is>
          <t>Pre-Seed, Seed, Series A (Follow-ons bis Series B)</t>
        </is>
      </c>
      <c r="I8" s="15" t="inlineStr">
        <is>
          <t>Ja — 2026 u.a. Lead bei compri (3,2 Mio. EUR Seed) und Co-Lead bei XO Market (6 Mio. USD Seed)</t>
        </is>
      </c>
      <c r="J8" s="16" t="inlineStr">
        <is>
          <t>Erstinvestments typischerweise 250.000 - 750.000 USD, Follow-ons deutlich höher; keine offizielle Range publiziert</t>
        </is>
      </c>
      <c r="K8" s="16" t="inlineStr">
        <is>
          <t>n/a (Evergreen-Vehikel, kein Fondsvolumen ausgewiesen); 170+ Investments in 20+ Ländern, 50+ Mitarbeitende, 9 Büros</t>
        </is>
      </c>
      <c r="L8" s="18" t="inlineStr">
        <is>
          <t>Ja</t>
        </is>
      </c>
      <c r="M8" s="16" t="inlineStr">
        <is>
          <t>Frontier Tech in sechs Kernsektoren: AI &amp; Data, Enterprise Infrastructure, Cybersecurity, Robotics, Biotech sowie klassisch Fintech/Insurtech/HR-Tech/Climate; explizites Ziel, Unternehmen zu finanzieren, die Enterprises robustere Dateninfrastrukturen bauen lassen</t>
        </is>
      </c>
      <c r="N8" s="16" t="inlineStr">
        <is>
          <t>Greptime (Time-Series-Datenbank), TensorChord (container-zentrische AI-Infrastruktur, Vector-DB-Umfeld), Orca (adaptive Datenbanken für AI), Klarity (AI-Vertragsprüfung), Reflex (Python-Web-Framework/Dev-Tool), Hawk:AI, Landbase, SydeLabs, Cyble; weitere Stealth-Ventures in Cybersecurity und Data Infrastructure</t>
        </is>
      </c>
      <c r="O8" s="16" t="inlineStr">
        <is>
          <t>Sehr hoch — 'AI &amp; Data' ist ein benannter Kernsektor, das Portfolio deckt Vector-/Time-Series-DBs, AI-Serving-Infrastruktur und Dev-Tools ab; Data Labeling ist die logisch fehlende Schicht in diesem Stack</t>
        </is>
      </c>
      <c r="P8" s="16" t="inlineStr">
        <is>
          <t>Data-Infra-nah</t>
        </is>
      </c>
      <c r="Q8" s="16" t="inlineStr">
        <is>
          <t>Florian Reichert</t>
        </is>
      </c>
      <c r="R8" s="16" t="inlineStr">
        <is>
          <t>Partner &amp; Managing Director, verantwortet Cybersecurity- und AI/Data-Investments (seit 2017 bei Picus, zuvor BCG Zürich); alternativ Robin Godenrath (Founding Partner/MD) und Alexander Kremer (Partner, Data Infrastructure)</t>
        </is>
      </c>
      <c r="S8" s="16" t="inlineStr">
        <is>
          <t>https://www.linkedin.com/in/florian-reichert-661b98a2/</t>
        </is>
      </c>
      <c r="T8" s="16" t="inlineStr">
        <is>
          <t>info@picuscap.com; Leopoldstraße 20, 80802 München</t>
        </is>
      </c>
      <c r="U8" s="16" t="inlineStr">
        <is>
          <t>Picus nennt 'AI &amp; Data' und 'Enterprise Infrastructure' als benannte Kernsektoren, investiert von Pre-Seed bis Series A und hat mit Greptime, TensorChord und Orca bereits mehrfach in Data-Infrastruktur investiert. Der Münchner HQ macht den DACH-Zugang trivial.</t>
        </is>
      </c>
      <c r="V8" s="16" t="inlineStr">
        <is>
          <t>Sehr breites Sektorspektrum und hohe Deal-Frequenz — Erstickets von 250-750k USD sind für eine ambitionierte Seed-Runde eher klein, echte Lead-Funktion ist nicht garantiert; Evergreen-Struktur ohne publiziertes Fondsvolumen erschwert die Einschätzung des Dry Powder</t>
        </is>
      </c>
      <c r="W8" s="16" t="inlineStr">
        <is>
          <t>Florian Reichert direkt mit der Stack-Lücke ansprechen: Picus hat Greptime, TensorChord und Orca — PathWize ist die Human-in-the-loop-Trainingsdatenschicht, die diesem AI-Data-Stack noch fehlt.</t>
        </is>
      </c>
      <c r="X8" s="18" t="n">
        <v>30</v>
      </c>
      <c r="Y8" s="18" t="n">
        <v>29</v>
      </c>
      <c r="Z8" s="18" t="n">
        <v>18</v>
      </c>
      <c r="AA8" s="18" t="n">
        <v>10</v>
      </c>
      <c r="AB8" s="18" t="n">
        <v>9</v>
      </c>
      <c r="AC8" s="18" t="inlineStr">
        <is>
          <t>Hoch</t>
        </is>
      </c>
      <c r="AD8" s="15" t="inlineStr">
        <is>
          <t>Bestandsliste</t>
        </is>
      </c>
      <c r="AE8" s="16" t="inlineStr">
        <is>
          <t>https://www.picuscap.com/</t>
        </is>
      </c>
      <c r="AF8" s="16" t="inlineStr">
        <is>
          <t>https://www.picuscap.com/, https://www.picuscap.com/picus_frontier_tech/, https://www.picuscap.com/team_experts/florian-reichert/, https://www.crunchbase.com/person/robin-godenrath, https://www.vcsheet.com/fund/picus-capital</t>
        </is>
      </c>
    </row>
    <row r="9">
      <c r="A9" s="12" t="n">
        <v>5</v>
      </c>
      <c r="B9" s="14" t="inlineStr">
        <is>
          <t>Point Nine Capital</t>
        </is>
      </c>
      <c r="C9" s="13" t="inlineStr">
        <is>
          <t>A</t>
        </is>
      </c>
      <c r="D9" s="13" t="n">
        <v>96</v>
      </c>
      <c r="E9" s="15" t="inlineStr">
        <is>
          <t>Berlin</t>
        </is>
      </c>
      <c r="F9" s="15" t="inlineStr">
        <is>
          <t>Deutschland</t>
        </is>
      </c>
      <c r="G9" s="15" t="inlineStr">
        <is>
          <t>VC (Seed-Spezialist)</t>
        </is>
      </c>
      <c r="H9" s="16" t="inlineStr">
        <is>
          <t>Seed (teils Pre-Seed), Pro-Rata bis Series A</t>
        </is>
      </c>
      <c r="I9" s="15" t="inlineStr">
        <is>
          <t>Ja - klassischer Seed-Lead</t>
        </is>
      </c>
      <c r="J9" s="16" t="inlineStr">
        <is>
          <t>1-10 Mio. USD pro Unternehmen</t>
        </is>
      </c>
      <c r="K9" s="16" t="inlineStr">
        <is>
          <t>Fund VI: ca. 180 Mio. EUR; 100+ Investments seit 2011</t>
        </is>
      </c>
      <c r="L9" s="18" t="inlineStr">
        <is>
          <t>Ja</t>
        </is>
      </c>
      <c r="M9" s="16" t="inlineStr">
        <is>
          <t>Thesengetrieben: 'AI for the digital, physical and biological world'; B2B SaaS, Dev Tools, API-/Infrastruktur-Franchise, AI-gestuetzte B2B-Software</t>
        </is>
      </c>
      <c r="N9" s="16" t="inlineStr">
        <is>
          <t>SuperAnnotate (AI-Annotationsplattform - Seed 2020 von Point Nine gefuehrt), poolside, Sereact (Robotik-AI), Vercept, Algolia, Contentful, Typeform, Loom (Exit an Atlassian), Attio</t>
        </is>
      </c>
      <c r="O9" s="16" t="inlineStr">
        <is>
          <t>Hoechste in der Batch: Point Nine hat die Seed-Runde von SuperAnnotate, einer End-to-End-Annotationsplattform fuer ML-Teams, angefuehrt - der Fonds kennt Labeling-Oekonomie, Workflow und GTM aus erster Hand</t>
        </is>
      </c>
      <c r="P9" s="16" t="inlineStr">
        <is>
          <t>DIREKT: Superannotate – Wettbewerbskonflikt pruefen</t>
        </is>
      </c>
      <c r="Q9" s="16" t="inlineStr">
        <is>
          <t>Christoph Janz</t>
        </is>
      </c>
      <c r="R9" s="16" t="inlineStr">
        <is>
          <t>Managing Partner (Berlin); weitere Investment Partner: Pawel Chudzinski, Louis Coppey, Ricardo Sequerra Amram</t>
        </is>
      </c>
      <c r="S9" s="16" t="inlineStr">
        <is>
          <t>n/a</t>
        </is>
      </c>
      <c r="T9" s="16" t="inlineStr">
        <is>
          <t>Pitch ueber das Kontaktformular auf pointnine.com; Content-Kanal writing.pointnine.com</t>
        </is>
      </c>
      <c r="U9" s="16" t="inlineStr">
        <is>
          <t>Berliner Seed-Lead mit expliziter AI-These und dem einzigen belegten Data-Labeling-Investment der Batch (Lead der SuperAnnotate-Seed-Runde) - Sektor, Stage und Geo treffen PathWize praktisch punktgenau.</t>
        </is>
      </c>
      <c r="V9" s="16" t="inlineStr">
        <is>
          <t>SuperAnnotate ist ein moeglicher Portfolio-Konflikt und Wettbewerber - das muss im Erstkontakt aktiv adressiert und differenziert werden; Point Nine startet selten im echten Pre-Seed; sehr hoher Deal-Flow, Standard-Formular hat geringe Trefferquote</t>
        </is>
      </c>
      <c r="W9" s="16" t="inlineStr">
        <is>
          <t>Ueber das Kontaktformular an Christoph Janz mit klarer Abgrenzung zu SuperAnnotate: PathWize als europaeischer, DSGVO-konformer Human-in-the-loop-Layer mit eigener Nische statt Tooling-Wettbewerb.</t>
        </is>
      </c>
      <c r="X9" s="18" t="n">
        <v>28</v>
      </c>
      <c r="Y9" s="18" t="n">
        <v>29</v>
      </c>
      <c r="Z9" s="18" t="n">
        <v>20</v>
      </c>
      <c r="AA9" s="18" t="n">
        <v>9</v>
      </c>
      <c r="AB9" s="18" t="n">
        <v>10</v>
      </c>
      <c r="AC9" s="18" t="inlineStr">
        <is>
          <t>Hoch</t>
        </is>
      </c>
      <c r="AD9" s="15" t="inlineStr">
        <is>
          <t>Bestandsliste</t>
        </is>
      </c>
      <c r="AE9" s="16" t="inlineStr">
        <is>
          <t>https://pointnine.com/</t>
        </is>
      </c>
      <c r="AF9" s="16" t="inlineStr">
        <is>
          <t>https://pointnine.com/, https://tech.eu/brief/superannotate-seed-funding/, https://news.crunchbase.com/startups/superannotate-lands-3m-seed-round-to-streamline-image-labeling/</t>
        </is>
      </c>
    </row>
    <row r="10">
      <c r="A10" s="12" t="n">
        <v>6</v>
      </c>
      <c r="B10" s="14" t="inlineStr">
        <is>
          <t>SquareOne</t>
        </is>
      </c>
      <c r="C10" s="13" t="inlineStr">
        <is>
          <t>A</t>
        </is>
      </c>
      <c r="D10" s="13" t="n">
        <v>96</v>
      </c>
      <c r="E10" s="15" t="inlineStr">
        <is>
          <t>Berlin</t>
        </is>
      </c>
      <c r="F10" s="18" t="inlineStr">
        <is>
          <t>DE</t>
        </is>
      </c>
      <c r="G10" s="15" t="inlineStr">
        <is>
          <t>VC (vormals Paua Ventures)</t>
        </is>
      </c>
      <c r="H10" s="16" t="inlineStr">
        <is>
          <t>Pre-Seed und Seed</t>
        </is>
      </c>
      <c r="I10" s="15" t="inlineStr">
        <is>
          <t>Ja (typischer Lead in Pre-Seed-/Seed-Runden)</t>
        </is>
      </c>
      <c r="J10" s="16" t="inlineStr">
        <is>
          <t>n/a (nicht oeffentlich beziffert; auf Basis Fondsgroesse und Stage typischerweise im niedrigen einstelligen Millionenbereich)</t>
        </is>
      </c>
      <c r="K10" s="16" t="inlineStr">
        <is>
          <t>SquareOne III mit EUR 100 Mio.; insgesamt 40 bis 54 Portfoliounternehmen seit 2010; LPs u.a. InnovFin Equity/EIF sowie Gruender von Instana, Signavio, Workday, Adyen und Staffbase</t>
        </is>
      </c>
      <c r="L10" s="18" t="inlineStr">
        <is>
          <t>Ja</t>
        </is>
      </c>
      <c r="M10" s="16" t="inlineStr">
        <is>
          <t>B2B-Tech-Gruender, die komplexe Probleme in grossen Maerkten loesen: Enterprise Software, SaaS, Deep Tech, Open Source, Supply Chain/Procurement und Climate Tech</t>
        </is>
      </c>
      <c r="N10" s="16" t="inlineStr">
        <is>
          <t>Ultralytics (YOLO - fuehrende Open-Source-Computer-Vision-Modelle), Semron (3D-skalierter AI-Chip), Edgeless Systems (Confidential Computing), Hygraph (GraphQL-Federated-CMS/Datenlayer), Codasip (RISC-V-Tooling), Wandelbots (Robotik-Software), Retorio (AI-Coaching), DigitalGenius, Pyne; frueher Stripe und Pipedrive</t>
        </is>
      </c>
      <c r="O10" s="16" t="inlineStr">
        <is>
          <t>Sehr hoch: Mit Ultralytics haelt SquareOne ein Investment direkt im Computer-Vision-Modell-Oekosystem - dem unmittelbaren Nachbarmarkt von Annotation und Trainingsdaten; zusaetzlich Open-Source- und Infrastruktur-Affinitaet</t>
        </is>
      </c>
      <c r="P10" s="16" t="inlineStr">
        <is>
          <t>-</t>
        </is>
      </c>
      <c r="Q10" s="16" t="inlineStr">
        <is>
          <t>Georg Stockinger</t>
        </is>
      </c>
      <c r="R10" s="16" t="inlineStr">
        <is>
          <t>Partner (weiterer Partner: Christian Buchenau; Principal: Charlotte Baumhauer)</t>
        </is>
      </c>
      <c r="S10" s="16" t="inlineStr">
        <is>
          <t>https://www.linkedin.com/in/gstockinger/</t>
        </is>
      </c>
      <c r="T10" s="16" t="inlineStr">
        <is>
          <t>Kontakt ueber https://www.squareone.vc/ und LinkedIn der Partner (keine oeffentliche Pitch-E-Mail; FAQ als Notion-Seite verlinkt)</t>
        </is>
      </c>
      <c r="U10" s="16" t="inlineStr">
        <is>
          <t>Berliner Pre-Seed/Seed-Lead mit EUR 100 Mio. frischem Fonds, reiner B2B-Deep-Tech-These und mit Ultralytics einem Portfoliounternehmen direkt im Computer-Vision-Modell-Stack - der beste Fit dieser Batch.</t>
        </is>
      </c>
      <c r="V10" s="16" t="inlineStr">
        <is>
          <t>Keine oeffentliche Ticketgroesse und kein offenes Pitch-Formular; Zugang laeuft praktisch ueber warme Intros oder direkte Partner-Ansprache auf LinkedIn</t>
        </is>
      </c>
      <c r="W10" s="16" t="inlineStr">
        <is>
          <t>Ueber Ultralytics einsteigen: 'Ihr habt in die Modelle investiert - PathWize liefert die annotierten Domaenendaten, an denen jede Computer-Vision-Deployment in der Praxis haengt.'</t>
        </is>
      </c>
      <c r="X10" s="18" t="n">
        <v>30</v>
      </c>
      <c r="Y10" s="18" t="n">
        <v>28</v>
      </c>
      <c r="Z10" s="18" t="n">
        <v>18</v>
      </c>
      <c r="AA10" s="18" t="n">
        <v>10</v>
      </c>
      <c r="AB10" s="18" t="n">
        <v>10</v>
      </c>
      <c r="AC10" s="18" t="inlineStr">
        <is>
          <t>Hoch</t>
        </is>
      </c>
      <c r="AD10" s="15" t="inlineStr">
        <is>
          <t>Bestandsliste</t>
        </is>
      </c>
      <c r="AE10" s="16" t="inlineStr">
        <is>
          <t>https://www.squareone.vc/</t>
        </is>
      </c>
      <c r="AF10" s="16" t="inlineStr">
        <is>
          <t>https://www.squareone.vc/, https://www.squareone.vc/portfolio, https://www.squareone.vc/team, https://siliconcanals.com/squareone-launches-third-fund/, https://www.ypog.law/en/press/ypog-advises-squareone-on-100-million-fund</t>
        </is>
      </c>
    </row>
    <row r="11">
      <c r="A11" s="12" t="n">
        <v>7</v>
      </c>
      <c r="B11" s="14" t="inlineStr">
        <is>
          <t>468 Capital</t>
        </is>
      </c>
      <c r="C11" s="13" t="inlineStr">
        <is>
          <t>A</t>
        </is>
      </c>
      <c r="D11" s="13" t="n">
        <v>95</v>
      </c>
      <c r="E11" s="15" t="inlineStr">
        <is>
          <t>Berlin (zusaetzlich San Francisco)</t>
        </is>
      </c>
      <c r="F11" s="18" t="inlineStr">
        <is>
          <t>DE</t>
        </is>
      </c>
      <c r="G11" s="18" t="inlineStr">
        <is>
          <t>VC</t>
        </is>
      </c>
      <c r="H11" s="16" t="inlineStr">
        <is>
          <t>Day 0 / Pre-Seed, Seed und Series A/B</t>
        </is>
      </c>
      <c r="I11" s="15" t="inlineStr">
        <is>
          <t>Ja - fuehrt Seed- und Series-A-Runden an</t>
        </is>
      </c>
      <c r="J11" s="16" t="inlineStr">
        <is>
          <t>Erstickets im Bereich 0,1-1,5 Mio. EUR bei Pre-Seed, deutlich hoeher bei Seed/Series A (Drittquellen, indikativ)</t>
        </is>
      </c>
      <c r="K11" s="16" t="inlineStr">
        <is>
          <t>ca. 400 Mio. USD (Fund II, 2022); Nachfolgefonds nicht oeffentlich bestaetigt</t>
        </is>
      </c>
      <c r="L11" s="18" t="inlineStr">
        <is>
          <t>Ja</t>
        </is>
      </c>
      <c r="M11" s="16" t="inlineStr">
        <is>
          <t>Founder-led Category Definers in vier Feldern: AI &amp; Automation, Infrastructure &amp; Enterprise Software, Energy Transition &amp; Climate, Consumer; starke Open-Source-Affinitaet</t>
        </is>
      </c>
      <c r="N11" s="16" t="inlineStr">
        <is>
          <t>Activeloop (Deep Lake - Data Lake fuer Deep-Learning-Trainingsdaten), Iterative.ai (DVC, Daten-/Modellversionierung fuer ML), QuestDB (Time-Series-DB), Jua.ai, ARC Intelligence</t>
        </is>
      </c>
      <c r="O11" s="16" t="inlineStr">
        <is>
          <t>Sehr hoch - Activeloop und Iterative.ai sind beides Trainingsdaten-Infrastruktur-Investments und liegen unmittelbar neben dem PathWize-Use-Case</t>
        </is>
      </c>
      <c r="P11" s="16" t="inlineStr">
        <is>
          <t>DIREKT: Activeloop – Wettbewerbskonflikt pruefen</t>
        </is>
      </c>
      <c r="Q11" s="16" t="inlineStr">
        <is>
          <t>Ludwig Ensthaler</t>
        </is>
      </c>
      <c r="R11" s="16" t="inlineStr">
        <is>
          <t>General Partner und Mitgruender (Berlin); neben Florian Leibert (Mitgruender Mesosphere/D2iQ) und Alexander Kudlich</t>
        </is>
      </c>
      <c r="S11" s="16" t="inlineStr">
        <is>
          <t>https://www.linkedin.com/in/ludwig-ensthaler-1b460143/</t>
        </is>
      </c>
      <c r="T11" s="16" t="inlineStr">
        <is>
          <t>Kein oeffentliches Pitch-Formular oder E-Mail auf 468cap.com gefunden</t>
        </is>
      </c>
      <c r="U11" s="16" t="inlineStr">
        <is>
          <t>Berliner Fonds mit AI-&amp;-Automation-These, der mit Activeloop und Iterative.ai bereits zweimal in Trainingsdaten- und ML-Data-Infrastruktur investiert hat und weiterhin aktiv Seed-Runden zeichnet (12 Neuinvestments in den letzten 12 Monaten).</t>
        </is>
      </c>
      <c r="V11" s="16" t="inlineStr">
        <is>
          <t>Aktuelle Fondsgeneration nicht oeffentlich bestaetigt - Fund II stammt von 2022, Dry Powder unklar; Website liefert praktisch keine Informationen und keinen Kontaktweg.</t>
        </is>
      </c>
      <c r="W11" s="16" t="inlineStr">
        <is>
          <t>Ueber die Activeloop-/Iterative-These einsteigen: PathWize liefert die menschliche Qualitaetsschicht ueber genau der Trainingsdaten-Infrastruktur, in die 468 bereits investiert hat.</t>
        </is>
      </c>
      <c r="X11" s="18" t="n">
        <v>29</v>
      </c>
      <c r="Y11" s="18" t="n">
        <v>28</v>
      </c>
      <c r="Z11" s="18" t="n">
        <v>19</v>
      </c>
      <c r="AA11" s="18" t="n">
        <v>9</v>
      </c>
      <c r="AB11" s="18" t="n">
        <v>10</v>
      </c>
      <c r="AC11" s="15" t="inlineStr">
        <is>
          <t>Mittel</t>
        </is>
      </c>
      <c r="AD11" s="15" t="inlineStr">
        <is>
          <t>Bestandsliste</t>
        </is>
      </c>
      <c r="AE11" s="16" t="inlineStr">
        <is>
          <t>https://468cap.com/</t>
        </is>
      </c>
      <c r="AF11" s="16" t="inlineStr">
        <is>
          <t>https://468cap.com/, https://www.businesswire.com/news/home/20220131005245/en/468-Capital-Raises-$400-Million-Fund-II, https://tracxn.com/d/venture-capital/468-capital/__PvJ3zdM2BK-utw9SyjkrtArkRvai6Jiseu1AwF0YlmU, https://www.linkedin.com/in/ludwig-ensthaler-1b460143/</t>
        </is>
      </c>
    </row>
    <row r="12">
      <c r="A12" s="12" t="n">
        <v>8</v>
      </c>
      <c r="B12" s="14" t="inlineStr">
        <is>
          <t>DIG Ventures</t>
        </is>
      </c>
      <c r="C12" s="13" t="inlineStr">
        <is>
          <t>A</t>
        </is>
      </c>
      <c r="D12" s="13" t="n">
        <v>95</v>
      </c>
      <c r="E12" s="15" t="inlineStr">
        <is>
          <t>London</t>
        </is>
      </c>
      <c r="F12" s="15" t="inlineStr">
        <is>
          <t>Grossbritannien</t>
        </is>
      </c>
      <c r="G12" s="15" t="inlineStr">
        <is>
          <t>VC (operator-gefuehrt)</t>
        </is>
      </c>
      <c r="H12" s="16" t="inlineStr">
        <is>
          <t>Pre-Seed und Seed</t>
        </is>
      </c>
      <c r="I12" s="15" t="inlineStr">
        <is>
          <t>Ja - 'fast decisions with high conviction', dreistufiger Prozess (Erstcall, Deep Dive, IC)</t>
        </is>
      </c>
      <c r="J12" s="16" t="inlineStr">
        <is>
          <t>n/a (nicht oeffentlich; Pre-Seed/Seed-typisch)</t>
        </is>
      </c>
      <c r="K12" s="16" t="inlineStr">
        <is>
          <t>Fund II: 100 Mio. USD (2025)</t>
        </is>
      </c>
      <c r="L12" s="18" t="inlineStr">
        <is>
          <t>Ja</t>
        </is>
      </c>
      <c r="M12" s="16" t="inlineStr">
        <is>
          <t>Early-Stage B2B SaaS, AI und Cloud-Infrastruktur in Europa; gegruendet vom MuleSoft-Gruender Ross Mason, LPs u.a. Datadog-Gruender - dezidiert Dev-Tools-/Infrastruktur-Netzwerk</t>
        </is>
      </c>
      <c r="N12" s="16" t="inlineStr">
        <is>
          <t>Prophecy (Data Pipelines), Deepnote (Data-Science-Notebooks), PlanetScale (Datenbank-Infra), Dash0 (Observability, deutsches Team), Rossum (Dokumenten-Datenextraktion), Encore, Rasa (Conversational AI), nexos.ai, People.ai, ComplyAdvantage</t>
        </is>
      </c>
      <c r="O12" s="16" t="inlineStr">
        <is>
          <t>Sehr hoch: Data-Pipeline- und Dokumentenextraktions-Investments (Prophecy, Rossum, Deepnote) liegen unmittelbar neben dem Trainingsdaten-Layer; Rossum ist im Kern strukturierte Datengewinnung aus unstrukturierten Inputs</t>
        </is>
      </c>
      <c r="P12" s="16" t="inlineStr">
        <is>
          <t>Data-Infra-nah</t>
        </is>
      </c>
      <c r="Q12" s="16" t="inlineStr">
        <is>
          <t>Ross Mason</t>
        </is>
      </c>
      <c r="R12" s="16" t="inlineStr">
        <is>
          <t>Founder &amp; General Partner (Gruender von MuleSoft); Melissa Klinger (Partner)</t>
        </is>
      </c>
      <c r="S12" s="16" t="inlineStr">
        <is>
          <t>n/a</t>
        </is>
      </c>
      <c r="T12" s="16" t="inlineStr">
        <is>
          <t>hello@dig.ventures</t>
        </is>
      </c>
      <c r="U12" s="16" t="inlineStr">
        <is>
          <t>Nennt AI und Cloud-/Data-Infrastruktur explizit als Kernthese, hat mit Prophecy, Deepnote, PlanetScale und Rossum ein dichtes Data-Infra-Buch und mit dem deutschen Dash0 einen belegten DACH-Deal aus einem frischen 100-Mio.-USD-Fonds.</t>
        </is>
      </c>
      <c r="V12" s="16" t="inlineStr">
        <is>
          <t>Ticketgroesse nicht oeffentlich; UK-basiert, DACH ist nicht das Kernjagdgebiet; operator-getriebener Fokus auf Dev-Tools koennte einen human-in-the-loop-Anteil kritisch sehen</t>
        </is>
      </c>
      <c r="W12" s="16" t="inlineStr">
        <is>
          <t>Mail an hello@dig.ventures mit dem Infrastruktur-Framing: PathWize als Trainingsdaten-Pipeline neben Prophecy und Rossum, mit Verweis auf den deutschen Portfolio-Case Dash0 als Beleg fuer DACH-Anschluss.</t>
        </is>
      </c>
      <c r="X12" s="18" t="n">
        <v>29</v>
      </c>
      <c r="Y12" s="18" t="n">
        <v>29</v>
      </c>
      <c r="Z12" s="18" t="n">
        <v>18</v>
      </c>
      <c r="AA12" s="18" t="n">
        <v>10</v>
      </c>
      <c r="AB12" s="18" t="n">
        <v>9</v>
      </c>
      <c r="AC12" s="18" t="inlineStr">
        <is>
          <t>Hoch</t>
        </is>
      </c>
      <c r="AD12" s="15" t="inlineStr">
        <is>
          <t>Bestandsliste</t>
        </is>
      </c>
      <c r="AE12" s="16" t="inlineStr">
        <is>
          <t>https://www.dig.ventures/</t>
        </is>
      </c>
      <c r="AF12" s="16" t="inlineStr">
        <is>
          <t>https://www.dig.ventures/</t>
        </is>
      </c>
    </row>
    <row r="13">
      <c r="A13" s="12" t="n">
        <v>9</v>
      </c>
      <c r="B13" s="14" t="inlineStr">
        <is>
          <t>Merantix Capital</t>
        </is>
      </c>
      <c r="C13" s="13" t="inlineStr">
        <is>
          <t>A</t>
        </is>
      </c>
      <c r="D13" s="13" t="n">
        <v>95</v>
      </c>
      <c r="E13" s="15" t="inlineStr">
        <is>
          <t>Berlin</t>
        </is>
      </c>
      <c r="F13" s="15" t="inlineStr">
        <is>
          <t>Deutschland</t>
        </is>
      </c>
      <c r="G13" s="15" t="inlineStr">
        <is>
          <t>VC + Venture Studio</t>
        </is>
      </c>
      <c r="H13" s="16" t="inlineStr">
        <is>
          <t>Pre-Idea, Pre-Seed, Seed</t>
        </is>
      </c>
      <c r="I13" s="15" t="inlineStr">
        <is>
          <t>Ja - fuehrt Pre-Seed-/Seed-Runden an, flexible Ownership-Ziele</t>
        </is>
      </c>
      <c r="J13" s="16" t="inlineStr">
        <is>
          <t>500 Tsd. - 4 Mio. EUR</t>
        </is>
      </c>
      <c r="K13" s="16" t="inlineStr">
        <is>
          <t>103 Mio. EUR (Final Close Jun 2026, groesster Fonds bisher); ca. 40 geplante Investments</t>
        </is>
      </c>
      <c r="L13" s="18" t="inlineStr">
        <is>
          <t>Ja</t>
        </is>
      </c>
      <c r="M13" s="16" t="inlineStr">
        <is>
          <t>Ausschliesslich AI: 'exceptional teams building applied AI solutions with a strong Europe angle', B2B ueber 15+ Anwendungsdomaenen (Agentic Models, Robotics &amp; Industrial AI, New Systems of Record, Defense, Cybersecurity, TechBio, Energy Infrastructure); ca. 50/50 Venture Studio vs. Direktinvestment</t>
        </is>
      </c>
      <c r="N13" s="16" t="inlineStr">
        <is>
          <t>Droidrun (Mobile-AI-Agent-Infrastruktur), Arqh, Outpost Bio; gesamtes Portfolio AI-nativ; LPs u.a. Union Investment, Jungheinrich, KPMG Deutschland</t>
        </is>
      </c>
      <c r="O13" s="16" t="inlineStr">
        <is>
          <t>Kein direktes Labeling-Investment, aber Merantix ist aus dem AI-Studio-Umfeld heraus mit Trainingsdaten-Pipelines vertraut (Rasmus Rothe: PhD Computer Vision/Deep Learning, ETH Zuerich)</t>
        </is>
      </c>
      <c r="P13" s="16" t="inlineStr">
        <is>
          <t>-</t>
        </is>
      </c>
      <c r="Q13" s="16" t="inlineStr">
        <is>
          <t>Dr. Rasmus Rothe</t>
        </is>
      </c>
      <c r="R13" s="16" t="inlineStr">
        <is>
          <t>Co-Founder &amp; General Partner (PhD Computer Vision/Deep Learning ETH Zuerich, Vorsitzender KI Bundesverband); weitere: Adrian Locher (Co-Founder &amp; GP), Nicole Buettner (Founding Partner), Matthieu Dederichs (Venture Partner)</t>
        </is>
      </c>
      <c r="S13" s="16" t="inlineStr">
        <is>
          <t>n/a</t>
        </is>
      </c>
      <c r="T13" s="16" t="inlineStr">
        <is>
          <t>Kein oeffentliches Pitch-Formular auf der Invest-Seite; Kontakt ueber merantix-capital.com bzw. Merantix AI Campus Berlin</t>
        </is>
      </c>
      <c r="U13" s="16" t="inlineStr">
        <is>
          <t>Reiner AI-Fonds in Berlin mit brandneuen 103 Mio. EUR (Jun 2026), Ticketgroesse 0,5-4 Mio. EUR und ca. 40 geplanten Pre-Seed-/Seed-Investments - Stage, Sektor, Geo und Timing decken sich vollstaendig mit PathWize.</t>
        </is>
      </c>
      <c r="V13" s="16" t="inlineStr">
        <is>
          <t>Fokus auf 'applied AI fuer Kernindustrien' - ein horizontaler Daten-/Service-Layer muss klar als produktisierte AI-Company positioniert werden; Studio-Haelfte des Fonds ist fuer eigene Ausgruendungen reserviert; Rothe als KI-Bundesverband-Vorsitzender ist stark ausgelastet</t>
        </is>
      </c>
      <c r="W13" s="16" t="inlineStr">
        <is>
          <t>Ueber den Merantix AI Campus in Berlin andocken und PathWize als AI-native Dateninfrastruktur fuer die europaeischen Kernindustrien pitchen, die Merantix bereits adressiert (Manufacturing, Robotics, Defense).</t>
        </is>
      </c>
      <c r="X13" s="18" t="n">
        <v>30</v>
      </c>
      <c r="Y13" s="18" t="n">
        <v>30</v>
      </c>
      <c r="Z13" s="18" t="n">
        <v>15</v>
      </c>
      <c r="AA13" s="18" t="n">
        <v>10</v>
      </c>
      <c r="AB13" s="18" t="n">
        <v>10</v>
      </c>
      <c r="AC13" s="18" t="inlineStr">
        <is>
          <t>Hoch</t>
        </is>
      </c>
      <c r="AD13" s="15" t="inlineStr">
        <is>
          <t>Bestandsliste</t>
        </is>
      </c>
      <c r="AE13" s="16" t="inlineStr">
        <is>
          <t>https://www.merantix-capital.com/invest</t>
        </is>
      </c>
      <c r="AF13" s="16" t="inlineStr">
        <is>
          <t>https://www.merantix-capital.com/invest, https://www.eu-startups.com/2026/06/german-vc-merantix-capital-closes-e103-million-fund-for-early-stage-ai-startups/, https://news.merantix-capital.com/p/merantix-capitals-next-chapter-103m</t>
        </is>
      </c>
    </row>
    <row r="14">
      <c r="A14" s="12" t="n">
        <v>10</v>
      </c>
      <c r="B14" s="14" t="inlineStr">
        <is>
          <t>Fly Ventures</t>
        </is>
      </c>
      <c r="C14" s="13" t="inlineStr">
        <is>
          <t>A</t>
        </is>
      </c>
      <c r="D14" s="13" t="n">
        <v>94</v>
      </c>
      <c r="E14" s="15" t="inlineStr">
        <is>
          <t>Berlin</t>
        </is>
      </c>
      <c r="F14" s="18" t="inlineStr">
        <is>
          <t>DE</t>
        </is>
      </c>
      <c r="G14" s="15" t="inlineStr">
        <is>
          <t>VC (First-Check-Fonds)</t>
        </is>
      </c>
      <c r="H14" s="16" t="inlineStr">
        <is>
          <t>Day-Zero / Pre-Seed bis Seed</t>
        </is>
      </c>
      <c r="I14" s="15" t="inlineStr">
        <is>
          <t>Ja - klassischer First-Check- und Lead-Investor</t>
        </is>
      </c>
      <c r="J14" s="16" t="inlineStr">
        <is>
          <t>1-4 Mio. EUR in Runden von 2-10 Mio. EUR</t>
        </is>
      </c>
      <c r="K14" s="16" t="inlineStr">
        <is>
          <t>80 Mio. EUR (Fund III, ueberzeichnet geschlossen Dez 2024)</t>
        </is>
      </c>
      <c r="L14" s="18" t="inlineStr">
        <is>
          <t>Ja</t>
        </is>
      </c>
      <c r="M14" s="16" t="inlineStr">
        <is>
          <t>First Check fuer technische Gruender in Europa: AI, Deep Tech, Infrastruktur, Robotik, Developer Tools, Frontier Tech. Allokation bisher ca. 45% AI, 35% Vertical/Industrial, 20% Dev Tools und Infrastruktur.</t>
        </is>
      </c>
      <c r="N14" s="16" t="inlineStr">
        <is>
          <t>Wayve (Autonomous Driving, Unicorn), Lakera (AI Security), zymtrace (GPU-/CPU-Profiling), 9fin (AI-Debt-Intelligence), Orbital, GitButler, GitGuardian</t>
        </is>
      </c>
      <c r="O14" s="16" t="inlineStr">
        <is>
          <t>Mittel bis hoch - starke Dev-Tools- und AI-Infra-Kompetenz, Wayve impliziert Verstaendnis fuer Trainingsdaten-Pipelines; kein direktes Labeling-Investment belegt</t>
        </is>
      </c>
      <c r="P14" s="16" t="inlineStr">
        <is>
          <t>-</t>
        </is>
      </c>
      <c r="Q14" s="16" t="inlineStr">
        <is>
          <t>Gabriel Matuschka</t>
        </is>
      </c>
      <c r="R14" s="16" t="inlineStr">
        <is>
          <t>Founding Partner / General Partner (gleichrangiges GP-Modell mit Fredrik Bergenlid, Matt Wichrowski, Marie Brayer)</t>
        </is>
      </c>
      <c r="S14" s="16" t="inlineStr">
        <is>
          <t>n/a</t>
        </is>
      </c>
      <c r="T14" s="16" t="inlineStr">
        <is>
          <t>Kein oeffentliches Pitch-Formular oder E-Mail auf fly.vc gefunden; Kontakt ueber LinkedIn der GPs</t>
        </is>
      </c>
      <c r="U14" s="16" t="inlineStr">
        <is>
          <t>Berliner First-Check-Fonds mit frischem 80-Mio.-EUR-Fonds, der fast die Haelfte seines Kapitals in AI und ein Fuenftel in Dev Tools/Infra allokiert und explizit technische Gruender in der Fruehphase anfuehrt.</t>
        </is>
      </c>
      <c r="V14" s="16" t="inlineStr">
        <is>
          <t>Kein belegtes Investment in Data Labeling oder Trainingsdaten - Fly ist eher Modell-, Robotik- und Tooling-lastig; kein oeffentlicher Kontaktweg, funktioniert stark ueber warme Intros.</t>
        </is>
      </c>
      <c r="W14" s="16" t="inlineStr">
        <is>
          <t>Ueber die Wayve-Analogie einsteigen: Ohne skalierbare, hochwertige Human-in-the-loop-Trainingsdaten kommt kein europaeisches Frontier-AI-Team in Produktion - PathWize ist dieser Layer.</t>
        </is>
      </c>
      <c r="X14" s="18" t="n">
        <v>30</v>
      </c>
      <c r="Y14" s="18" t="n">
        <v>29</v>
      </c>
      <c r="Z14" s="18" t="n">
        <v>15</v>
      </c>
      <c r="AA14" s="18" t="n">
        <v>10</v>
      </c>
      <c r="AB14" s="18" t="n">
        <v>10</v>
      </c>
      <c r="AC14" s="18" t="inlineStr">
        <is>
          <t>Hoch</t>
        </is>
      </c>
      <c r="AD14" s="15" t="inlineStr">
        <is>
          <t>Bestandsliste</t>
        </is>
      </c>
      <c r="AE14" s="16" t="inlineStr">
        <is>
          <t>https://fly.vc/</t>
        </is>
      </c>
      <c r="AF14" s="16" t="inlineStr">
        <is>
          <t>https://fly.vc/, https://techcrunch.com/2024/12/06/fly-ventures-sets-its-eyes-on-technical-founders-with-a-fresh-e80m-fund/, https://tech.eu/2024/12/06/fly-ventures-closes-eur80m-fund-iii-to-support-deeptech-founders-in-europe/, https://www.ypog.law/en/press/ypog-advises-fly-ventures-on-80-million-closing</t>
        </is>
      </c>
    </row>
    <row r="15">
      <c r="A15" s="12" t="n">
        <v>11</v>
      </c>
      <c r="B15" s="14" t="inlineStr">
        <is>
          <t>Headline</t>
        </is>
      </c>
      <c r="C15" s="13" t="inlineStr">
        <is>
          <t>A</t>
        </is>
      </c>
      <c r="D15" s="13" t="n">
        <v>94</v>
      </c>
      <c r="E15" s="15" t="inlineStr">
        <is>
          <t>Berlin (Europa-Team) / San Francisco (global)</t>
        </is>
      </c>
      <c r="F15" s="15" t="inlineStr">
        <is>
          <t>Deutschland / USA</t>
        </is>
      </c>
      <c r="G15" s="15" t="inlineStr">
        <is>
          <t>VC (global, Multi-Stage)</t>
        </is>
      </c>
      <c r="H15" s="16" t="inlineStr">
        <is>
          <t>Pre-Seed, Seed, Series A, Series B, Growth (separate Early- und Growth-Fonds)</t>
        </is>
      </c>
      <c r="I15" s="15" t="inlineStr">
        <is>
          <t>Ja, fuehrt Seed- und Series-A-Runden regelmaessig an</t>
        </is>
      </c>
      <c r="J15" s="16" t="inlineStr">
        <is>
          <t>ca. 500 Tsd. USD - 30 Mio. USD, Sweet Spot ca. 15 Mio. USD (Early-Stage-Tickets deutlich darunter)</t>
        </is>
      </c>
      <c r="K15" s="16" t="inlineStr">
        <is>
          <t>aktueller Early-Stage-Fonds ca. 230 Mio. USD; gesamt-AUM im Milliardenbereich ueber Headline/e.ventures-Historie</t>
        </is>
      </c>
      <c r="L15" s="18" t="inlineStr">
        <is>
          <t>Ja</t>
        </is>
      </c>
      <c r="M15" s="16" t="inlineStr">
        <is>
          <t>Global generalistisch-technologisch mit starkem Schwerpunkt AI, B2B-Software/SaaS, Fintech, Marktplaetze, Commerce und Deep Tech. Explizite Aussage, dass praktisch jedes Investment der letzten 24 Monate AI-Bezug hat.</t>
        </is>
      </c>
      <c r="N15" s="16" t="inlineStr">
        <is>
          <t>Mistral AI, Black Forest Labs, Leapwork (Test-Automatisierung), Automaited (AI-Agenten fuer Prozesse), Robco (Robotik), Semrush, Pismo.</t>
        </is>
      </c>
      <c r="O15" s="16" t="inlineStr">
        <is>
          <t>Hoch: mit Mistral AI und Black Forest Labs sitzt Headline direkt an Foundation-Model-Teams, die Trainings- und Evaluationsdaten als kritischen Engpass erleben.</t>
        </is>
      </c>
      <c r="P15" s="16" t="inlineStr">
        <is>
          <t>-</t>
        </is>
      </c>
      <c r="Q15" s="16" t="inlineStr">
        <is>
          <t>Christian Miele</t>
        </is>
      </c>
      <c r="R15" s="16" t="inlineStr">
        <is>
          <t>General Partner Europe, Fokus Software &amp; Deep Tech, Berlin</t>
        </is>
      </c>
      <c r="S15" s="16" t="inlineStr">
        <is>
          <t>https://www.linkedin.com/in/christianmiele</t>
        </is>
      </c>
      <c r="T15" s="16" t="inlineStr">
        <is>
          <t>hello@headline.com; Pitch ueber das Formular "Tell us about your business" auf headline.com</t>
        </is>
      </c>
      <c r="U15" s="16" t="inlineStr">
        <is>
          <t>Headline ist einer der wenigen deutschen VCs mit echten Foundation-Model-Investments (Mistral AI, Black Forest Labs) und deckt Pre-Seed bis Growth ab - die Portfolio-Naehe zu Modelltrainern macht PathWize unmittelbar anschlussfaehig.</t>
        </is>
      </c>
      <c r="V15" s="16" t="inlineStr">
        <is>
          <t>Hohe Deal-Selektivitaet und globaler Wettbewerb um Slots; durchschnittlicher Sweet Spot liegt oberhalb typischer Pre-Seed-Tickets.</t>
        </is>
      </c>
      <c r="W15" s="16" t="inlineStr">
        <is>
          <t>Ueber Christian Miele einsteigen mit der These, dass Headline-Portfoliofirmen wie Mistral und Black Forest Labs europaeische, DSGVO-konforme Human-in-the-loop-Labeling-Kapazitaet brauchen - und PathWize genau diese Luecke schliesst.</t>
        </is>
      </c>
      <c r="X15" s="18" t="n">
        <v>28</v>
      </c>
      <c r="Y15" s="18" t="n">
        <v>27</v>
      </c>
      <c r="Z15" s="18" t="n">
        <v>19</v>
      </c>
      <c r="AA15" s="18" t="n">
        <v>10</v>
      </c>
      <c r="AB15" s="18" t="n">
        <v>10</v>
      </c>
      <c r="AC15" s="18" t="inlineStr">
        <is>
          <t>Hoch</t>
        </is>
      </c>
      <c r="AD15" s="15" t="inlineStr">
        <is>
          <t>Bestandsliste</t>
        </is>
      </c>
      <c r="AE15" s="16" t="inlineStr">
        <is>
          <t>https://headline.com/</t>
        </is>
      </c>
      <c r="AF15" s="16" t="inlineStr">
        <is>
          <t>https://headline.com/, https://headline.com/team/christian-miele, https://www.linkedin.com/in/christianmiele, https://www.vcsheet.com/fund/headline, https://signal.nfx.com/investors/christian-miele</t>
        </is>
      </c>
    </row>
    <row r="16">
      <c r="A16" s="12" t="n">
        <v>12</v>
      </c>
      <c r="B16" s="14" t="inlineStr">
        <is>
          <t>Seed + Speed Ventures</t>
        </is>
      </c>
      <c r="C16" s="13" t="inlineStr">
        <is>
          <t>A</t>
        </is>
      </c>
      <c r="D16" s="13" t="n">
        <v>93</v>
      </c>
      <c r="E16" s="15" t="inlineStr">
        <is>
          <t>Berlin</t>
        </is>
      </c>
      <c r="F16" s="18" t="inlineStr">
        <is>
          <t>DE</t>
        </is>
      </c>
      <c r="G16" s="18" t="inlineStr">
        <is>
          <t>VC</t>
        </is>
      </c>
      <c r="H16" s="16" t="inlineStr">
        <is>
          <t>Pre-Seed und Seed</t>
        </is>
      </c>
      <c r="I16" s="15" t="inlineStr">
        <is>
          <t>Ja (fuehrt bzw. co-leadet Pre-Seed-/Seed-Runden an)</t>
        </is>
      </c>
      <c r="J16" s="16" t="inlineStr">
        <is>
          <t>EUR 500k bis 2,0 Mio. Erstticket, Follow-on bis EUR 5,0 Mio.</t>
        </is>
      </c>
      <c r="K16" s="16" t="inlineStr">
        <is>
          <t>seed+speed III mit EUR 90 Mio. (Closing Januar 2026, dreifaches des urspruenglichen Ziels von EUR 30 Mio.); &gt;50 Portfoliounternehmen</t>
        </is>
      </c>
      <c r="L16" s="18" t="inlineStr">
        <is>
          <t>Ja</t>
        </is>
      </c>
      <c r="M16" s="16" t="inlineStr">
        <is>
          <t>Europaeische B2B- und Enterprise-Software; Fund III explizit auf 'Enterprise AI' ausgerichtet: sicherer, compliance-konformer und produktivitaetssteigernder KI-Einsatz im Geschaeftsalltag (Security, Datenschutz, Governance, Qualitaet, Kostenkontrolle, messbare Produktivitaet)</t>
        </is>
      </c>
      <c r="N16" s="16" t="inlineStr">
        <is>
          <t>Prewave (KI-basiertes Supply-Chain-Risk-Monitoring), Delicious Data (KI-Bedarfsprognose), Enginsight (Cybersecurity-Automatisierung), Filestage, Pliant, Workmotion, Cashlink, Carbonfuture, Meisterwerk</t>
        </is>
      </c>
      <c r="O16" s="16" t="inlineStr">
        <is>
          <t>Hoch: Der Enterprise-AI-Fokus mit expliziter Betonung von Datenqualitaet, Governance und Compliance ist genau die Klammer, unter der Human-in-the-loop-Trainingsdaten argumentiert werden</t>
        </is>
      </c>
      <c r="P16" s="16" t="inlineStr">
        <is>
          <t>-</t>
        </is>
      </c>
      <c r="Q16" s="16" t="inlineStr">
        <is>
          <t>Alexander Koelpin</t>
        </is>
      </c>
      <c r="R16" s="16" t="inlineStr">
        <is>
          <t>Managing Partner / Managing Director (Co-Lead des Fonds neben Dr. Carsten Maschmeyer)</t>
        </is>
      </c>
      <c r="S16" s="16" t="inlineStr">
        <is>
          <t>https://www.linkedin.com/in/koelpin/</t>
        </is>
      </c>
      <c r="T16" s="16" t="inlineStr">
        <is>
          <t>Pitch-Deck-Formular unter https://www.seedandspeed.com/submit-pitch-deck</t>
        </is>
      </c>
      <c r="U16" s="16" t="inlineStr">
        <is>
          <t>Frisch geschlossener EUR-90-Mio.-Fonds (Januar 2026) mit ausdruecklicher Enterprise-AI-These, Pre-Seed/Seed-Fokus, DACH-Schwerpunkt und Tickets von EUR 500k bis 2 Mio. Das trifft PathWize in Stage, Geografie und Sektor punktgenau.</t>
        </is>
      </c>
      <c r="V16" s="16" t="inlineStr">
        <is>
          <t>Sehr hohe Deal-Flow-Dichte durch Maschmeyer-Brand; These betont AI-Anwendung im Unternehmensalltag, Data-Infrastruktur als Enabler-Layer muss aktiv als Enterprise-AI-Thema gerahmt werden</t>
        </is>
      </c>
      <c r="W16" s="16" t="inlineStr">
        <is>
          <t>Direkt auf die Fund-III-These aufsetzen: 'Ihr investiert in sicheren, compliance-konformen KI-Rollout - PathWize liefert die auditierbare, DSGVO-konforme Trainingsdaten-Schicht, ohne die genau dieser Rollout scheitert.'</t>
        </is>
      </c>
      <c r="X16" s="18" t="n">
        <v>30</v>
      </c>
      <c r="Y16" s="18" t="n">
        <v>28</v>
      </c>
      <c r="Z16" s="18" t="n">
        <v>15</v>
      </c>
      <c r="AA16" s="18" t="n">
        <v>10</v>
      </c>
      <c r="AB16" s="18" t="n">
        <v>10</v>
      </c>
      <c r="AC16" s="18" t="inlineStr">
        <is>
          <t>Hoch</t>
        </is>
      </c>
      <c r="AD16" s="15" t="inlineStr">
        <is>
          <t>Bestandsliste</t>
        </is>
      </c>
      <c r="AE16" s="16" t="inlineStr">
        <is>
          <t>https://www.seedandspeed.com/</t>
        </is>
      </c>
      <c r="AF16" s="16" t="inlineStr">
        <is>
          <t>https://www.seedandspeed.com/, https://tech.eu/2026/01/28/seedspeed-ventures-closes-eur90m-fund-iii-tripling-its-original-target/, https://www.vc-magazin.de/blog/2026/01/29/seedspeed-ventures-closing-2026/, https://www.trendingtopics.eu/seedspeed-ventures-closes-e90-million-fund-for-enterprise-ai/, https://www.seedandspeed.com/team/alexander-koelpin</t>
        </is>
      </c>
    </row>
    <row r="17">
      <c r="A17" s="12" t="n">
        <v>13</v>
      </c>
      <c r="B17" s="14" t="inlineStr">
        <is>
          <t>Visionaries Club</t>
        </is>
      </c>
      <c r="C17" s="13" t="inlineStr">
        <is>
          <t>A</t>
        </is>
      </c>
      <c r="D17" s="13" t="n">
        <v>93</v>
      </c>
      <c r="E17" s="15" t="inlineStr">
        <is>
          <t>Berlin (zweites Buero London)</t>
        </is>
      </c>
      <c r="F17" s="15" t="inlineStr">
        <is>
          <t>Deutschland</t>
        </is>
      </c>
      <c r="G17" s="18" t="inlineStr">
        <is>
          <t>VC</t>
        </is>
      </c>
      <c r="H17" s="16" t="inlineStr">
        <is>
          <t>Pre-Seed &amp; Seed, zusaetzlich Early-Growth-Fonds fuer Series A/B</t>
        </is>
      </c>
      <c r="I17" s="18" t="inlineStr">
        <is>
          <t>Ja</t>
        </is>
      </c>
      <c r="J17" s="16" t="inlineStr">
        <is>
          <t>1 bis 5 Mio. EUR (typisch ca. 2,5 Mio. EUR im Seed)</t>
        </is>
      </c>
      <c r="K17" s="16" t="inlineStr">
        <is>
          <t>ueber 600 Mio. USD AUM; Seed Fund ca. 150 Mio. EUR plus Tomorrow Fund ca. 50 Mio. EUR; naechster Fonds in Vorbereitung</t>
        </is>
      </c>
      <c r="L17" s="18" t="inlineStr">
        <is>
          <t>Ja</t>
        </is>
      </c>
      <c r="M17" s="16" t="inlineStr">
        <is>
          <t>Europaeische B2B-Tools und AI; Enterprise-Digitalisierung; separater 'Tomorrow Fund' fuer Frontier Science / Deep Tech; gegruendet 2019, LP-Basis aus europaeischen Unternehmerfamilien</t>
        </is>
      </c>
      <c r="N17" s="16" t="inlineStr">
        <is>
          <t>Black Forest Labs (Foundation Models fuer Bildgenerierung), n8n (Workflow-Automation / AI-Agenten), Lovable (AI-Coding), Pigment, Personio, Miro; 60+ Investments, 5 Unicorns</t>
        </is>
      </c>
      <c r="O17" s="16" t="inlineStr">
        <is>
          <t>Hoch - mit Black Forest Labs haelt der Fonds ein Foundation-Model-Lab im Portfolio, das strukturell auf hochwertige annotierte Trainingsdaten angewiesen ist</t>
        </is>
      </c>
      <c r="P17" s="16" t="inlineStr">
        <is>
          <t>-</t>
        </is>
      </c>
      <c r="Q17" s="16" t="inlineStr">
        <is>
          <t>Robert Lacher</t>
        </is>
      </c>
      <c r="R17" s="16" t="inlineStr">
        <is>
          <t>Founding Partner (fuehrt das Investmentteam gemeinsam mit Partner Venkat Kondragunta)</t>
        </is>
      </c>
      <c r="S17" s="16" t="inlineStr">
        <is>
          <t>https://de.linkedin.com/in/robert-lacher-ba58a759</t>
        </is>
      </c>
      <c r="T17" s="16" t="inlineStr">
        <is>
          <t>Kontaktformular auf https://visionaries.vc/; E-Mail-Schema vorname@visionariesclub.vc</t>
        </is>
      </c>
      <c r="U17" s="16" t="inlineStr">
        <is>
          <t>Deutlichster Treffer der Batch: Berliner Seed-Lead mit expliziter B2B-plus-AI-These, 1-5-Mio.-Tickets und einem Portfolio, das von Black Forest Labs ueber n8n bis Lovable genau die Kundenkategorie von PathWize abbildet. Geo, Stage und These stimmen ohne Einschraenkung.</t>
        </is>
      </c>
      <c r="V17" s="16" t="inlineStr">
        <is>
          <t>Investmentteam wurde auf zwei Lead-Partner verschlankt (GP-led-Modell) - weniger Einstiegspunkte; naechster Fonds noch im Raising, Timing des Deployments unklar</t>
        </is>
      </c>
      <c r="W17" s="16" t="inlineStr">
        <is>
          <t>Ueber Black Forest Labs und n8n aufhaengen: PathWize liefert die annotierte Datenschicht, die genau diese Portfolio-Companies zum Trainieren und Evaluieren ihrer Modelle brauchen.</t>
        </is>
      </c>
      <c r="X17" s="18" t="n">
        <v>28</v>
      </c>
      <c r="Y17" s="18" t="n">
        <v>29</v>
      </c>
      <c r="Z17" s="18" t="n">
        <v>17</v>
      </c>
      <c r="AA17" s="18" t="n">
        <v>9</v>
      </c>
      <c r="AB17" s="18" t="n">
        <v>10</v>
      </c>
      <c r="AC17" s="18" t="inlineStr">
        <is>
          <t>Hoch</t>
        </is>
      </c>
      <c r="AD17" s="15" t="inlineStr">
        <is>
          <t>Bestandsliste</t>
        </is>
      </c>
      <c r="AE17" s="16" t="inlineStr">
        <is>
          <t>https://visionaries.vc/</t>
        </is>
      </c>
      <c r="AF17" s="16" t="inlineStr">
        <is>
          <t>https://visionaries.vc/, https://sifted.eu/articles/visionaries-cuts-investment-team-next-fund, https://www.cbinsights.com/investor/visionaries-club, https://tracxn.com/d/venture-capital/visionaries-club/__YgvSLX9ehByMnGLXeMgEBlikYIJihThVj16XNhQVeBU, https://theorg.com/org/visionaries-club/org-chart/robert-lacher</t>
        </is>
      </c>
    </row>
    <row r="18">
      <c r="A18" s="12" t="n">
        <v>14</v>
      </c>
      <c r="B18" s="14" t="inlineStr">
        <is>
          <t>42CAP</t>
        </is>
      </c>
      <c r="C18" s="13" t="inlineStr">
        <is>
          <t>A</t>
        </is>
      </c>
      <c r="D18" s="13" t="n">
        <v>92</v>
      </c>
      <c r="E18" s="15" t="inlineStr">
        <is>
          <t>Muenchen</t>
        </is>
      </c>
      <c r="F18" s="18" t="inlineStr">
        <is>
          <t>DE</t>
        </is>
      </c>
      <c r="G18" s="18" t="inlineStr">
        <is>
          <t>VC</t>
        </is>
      </c>
      <c r="H18" s="16" t="inlineStr">
        <is>
          <t>Seed (fuehrt an), teils Pre-Seed und Series A Follow-on</t>
        </is>
      </c>
      <c r="I18" s="15" t="inlineStr">
        <is>
          <t>Ja - typischer Seed-Lead</t>
        </is>
      </c>
      <c r="J18" s="16" t="inlineStr">
        <is>
          <t>0,5-3 Mio. EUR Erstinvestment</t>
        </is>
      </c>
      <c r="K18" s="16" t="inlineStr">
        <is>
          <t>50 Mio. EUR (Fonds IV, Final Closing April 2025)</t>
        </is>
      </c>
      <c r="L18" s="18" t="inlineStr">
        <is>
          <t>Ja</t>
        </is>
      </c>
      <c r="M18" s="16" t="inlineStr">
        <is>
          <t>Seed-Investments in technologie- und datengetriebene B2B-Software aus Europa mit globalem Anspruch; Schwerpunkte AI, BioIT, Space, DLT, Quantum; 'Entrepreneurs turned VCs'</t>
        </is>
      </c>
      <c r="N18" s="16" t="inlineStr">
        <is>
          <t>Qdrant (Vector DB, Series B 50 Mio. USD), Cognee (AI Memory Engine), Adverity (Marketing-/Data-Intelligence), Katana, ARC Intelligence (Seed 2026 gemeinsam mit 468 Capital)</t>
        </is>
      </c>
      <c r="O18" s="16" t="inlineStr">
        <is>
          <t>Hoch - starke Data-Infrastruktur-Historie (Qdrant, Cognee); Trainingsdaten/Labeling bislang nicht direkt im Portfolio, aber thesenkonform</t>
        </is>
      </c>
      <c r="P18" s="16" t="inlineStr">
        <is>
          <t>Data-Infra-nah</t>
        </is>
      </c>
      <c r="Q18" s="16" t="inlineStr">
        <is>
          <t>Alex Meyer</t>
        </is>
      </c>
      <c r="R18" s="16" t="inlineStr">
        <is>
          <t>Founding Partner (Mitgruender eCircle, verkauft an Teradata); gleichrangig Thomas Wilke, Founding Partner</t>
        </is>
      </c>
      <c r="S18" s="16" t="inlineStr">
        <is>
          <t>n/a</t>
        </is>
      </c>
      <c r="T18" s="16" t="inlineStr">
        <is>
          <t>Kontakt ueber 42cap.com; keine oeffentliche Pitch-E-Mail belegt</t>
        </is>
      </c>
      <c r="U18" s="16" t="inlineStr">
        <is>
          <t>Muenchner Seed-Lead mit expliziter These auf daten- und technologiegetriebene B2B-Software und belegter Data-Infra-Kompetenz (Qdrant, Cognee) - geografisch und thematisch nahezu ideal fuer ein deutsches Data-Labeling-Startup.</t>
        </is>
      </c>
      <c r="V18" s="16" t="inlineStr">
        <is>
          <t>Fondsgroesse von nur 50 Mio. EUR begrenzt Ticket und Follow-on-Kapazitaet; sehr hohe Selektivitaet mit wenigen Deals pro Jahr; kein Series-A-Lead.</t>
        </is>
      </c>
      <c r="W18" s="16" t="inlineStr">
        <is>
          <t>Als deutsches Data-Infrastruktur-Team im Fahrwasser von Qdrant ansprechen: PathWize liefert den menschlichen Datenlayer, den Vector-DB- und Memory-Investments von 42CAP voraussetzen.</t>
        </is>
      </c>
      <c r="X18" s="18" t="n">
        <v>28</v>
      </c>
      <c r="Y18" s="18" t="n">
        <v>27</v>
      </c>
      <c r="Z18" s="18" t="n">
        <v>18</v>
      </c>
      <c r="AA18" s="18" t="n">
        <v>9</v>
      </c>
      <c r="AB18" s="18" t="n">
        <v>10</v>
      </c>
      <c r="AC18" s="18" t="inlineStr">
        <is>
          <t>Hoch</t>
        </is>
      </c>
      <c r="AD18" s="15" t="inlineStr">
        <is>
          <t>Bestandsliste</t>
        </is>
      </c>
      <c r="AE18" s="16" t="inlineStr">
        <is>
          <t>https://www.42cap.com/</t>
        </is>
      </c>
      <c r="AF18" s="16" t="inlineStr">
        <is>
          <t>https://www.42cap.com/, https://www.ypog.law/en/press/ypog-advises-42cap-on-the-structuring-of-its-fourth-fund-generation, https://www.munich-startup.de/en/50146/42cap-closes-early-stage-fund/, https://www.ypog.law/en/press/ypog-advises-42cap-on-usd-50-million-series-b-financing-round-of-berlin-based-ai-startup-qdrant</t>
        </is>
      </c>
    </row>
    <row r="19">
      <c r="A19" s="12" t="n">
        <v>15</v>
      </c>
      <c r="B19" s="14" t="inlineStr">
        <is>
          <t>b2venture (ehem. btov Partners)</t>
        </is>
      </c>
      <c r="C19" s="13" t="inlineStr">
        <is>
          <t>A</t>
        </is>
      </c>
      <c r="D19" s="13" t="n">
        <v>92</v>
      </c>
      <c r="E19" s="15" t="inlineStr">
        <is>
          <t>Berlin / Muenchen / St. Gallen / Luxemburg</t>
        </is>
      </c>
      <c r="F19" s="18" t="inlineStr">
        <is>
          <t>DE/CH</t>
        </is>
      </c>
      <c r="G19" s="15" t="inlineStr">
        <is>
          <t>VC (mit angeschlossenem Business-Angel-Netzwerk)</t>
        </is>
      </c>
      <c r="H19" s="16" t="inlineStr">
        <is>
          <t>Pre-Seed, Seed, Series A (plus Follow-ons in spaeteren Runden)</t>
        </is>
      </c>
      <c r="I19" s="15" t="inlineStr">
        <is>
          <t>Ja - fuehrt regelmaessig Seed- und Series-A-Runden an</t>
        </is>
      </c>
      <c r="J19" s="16" t="inlineStr">
        <is>
          <t>250 Tsd. - 5 Mio. EUR, Durchschnitt ca. 1 Mio. EUR</t>
        </is>
      </c>
      <c r="K19" s="16" t="inlineStr">
        <is>
          <t>Fund V: 150 Mio. EUR (groesster Early-Stage-Fonds der Firma), Ziel ca. 35 Investments; mehrere Vorgaengerfonds</t>
        </is>
      </c>
      <c r="L19" s="18" t="inlineStr">
        <is>
          <t>Ja</t>
        </is>
      </c>
      <c r="M19" s="16" t="inlineStr">
        <is>
          <t>Industrie-agnostisch mit Schwerpunkt auf skalierbare, verteidigungsfaehige Technologie: horizontale AI, Robotik, Industrial Tech, Manufacturing, Infrastruktur, Fintech, Supply Chain, Digital Health</t>
        </is>
      </c>
      <c r="N19" s="16" t="inlineStr">
        <is>
          <t>Neptune (neptune.ai, MLOps/Experiment-Tracking - Exit an OpenAI fuer kolportierte 350-400 Mio. USD), DeepL, AI21 Labs, Ledgy, Procuros</t>
        </is>
      </c>
      <c r="O19" s="16" t="inlineStr">
        <is>
          <t>Hoch - mit neptune.ai hat b2venture bereits eine Trainings-/ML-Ops-Infrastrukturfirma finanziert und mit einem AI-Lab-Exit monetarisiert; horizontale AI ist explizite These</t>
        </is>
      </c>
      <c r="P19" s="16" t="inlineStr">
        <is>
          <t>Data-Infra-nah</t>
        </is>
      </c>
      <c r="Q19" s="16" t="inlineStr">
        <is>
          <t>Andreas Goeldi</t>
        </is>
      </c>
      <c r="R19" s="16" t="inlineStr">
        <is>
          <t>Partner (Digital/Software-Fokus, Autor der b2venture Generative-AI-Investorenperspektive)</t>
        </is>
      </c>
      <c r="S19" s="16" t="inlineStr">
        <is>
          <t>n/a</t>
        </is>
      </c>
      <c r="T19" s="16" t="inlineStr">
        <is>
          <t>Kontaktformular unter https://b2venture.vc/contact; Berlin: Neue Schoenhauser Str. 8, 10178 Berlin, +49 30 346 55 84 00</t>
        </is>
      </c>
      <c r="U19" s="16" t="inlineStr">
        <is>
          <t>Exakter Stage-Match (Pre-Seed bis Series A, 250 Tsd.-5 Mio. EUR) plus frischer 150-Mio.-EUR-Fonds und mit neptune.ai eine belegte, erfolgreich exitete ML-Infrastruktur-Beteiligung - b2venture versteht Trainingsdaten-Wertschoepfung aus eigener Erfahrung.</t>
        </is>
      </c>
      <c r="V19" s="16" t="inlineStr">
        <is>
          <t>Industrie-agnostisch, kein dedizierter Data-Infra-Partner sichtbar; Angel-Netzwerk-Modell kann Entscheidungsprozess verlaengern</t>
        </is>
      </c>
      <c r="W19" s="16" t="inlineStr">
        <is>
          <t>Ueber den neptune.ai-Exit einsteigen: PathWize baut die Datenschicht, die das ML-Ops-Layer erst nutzbar macht - der logische naechste Baustein im selben Stack.</t>
        </is>
      </c>
      <c r="X19" s="18" t="n">
        <v>29</v>
      </c>
      <c r="Y19" s="18" t="n">
        <v>25</v>
      </c>
      <c r="Z19" s="18" t="n">
        <v>18</v>
      </c>
      <c r="AA19" s="18" t="n">
        <v>10</v>
      </c>
      <c r="AB19" s="18" t="n">
        <v>10</v>
      </c>
      <c r="AC19" s="18" t="inlineStr">
        <is>
          <t>Hoch</t>
        </is>
      </c>
      <c r="AD19" s="15" t="inlineStr">
        <is>
          <t>Bestandsliste</t>
        </is>
      </c>
      <c r="AE19" s="16" t="inlineStr">
        <is>
          <t>https://www.b2venture.vc/</t>
        </is>
      </c>
      <c r="AF19" s="16" t="inlineStr">
        <is>
          <t>https://www.b2venture.vc/, https://www.b2venture.vc/portfolio, https://www.vestbee.com/insights/articles/b2venture-closes-150-m-fund-v, https://www.openvc.app/fund/b2venture, https://www.caproasia.com/2025/12/07/500-billion-openai-buys-ai-model-training-startup-neptune-neptune-ai-for-around-350-million-to-400-million-founded-in-2017-by-piotr-niedzwiedz-raised-18-million-in-funding-investors-include/</t>
        </is>
      </c>
    </row>
    <row r="20">
      <c r="A20" s="12" t="n">
        <v>16</v>
      </c>
      <c r="B20" s="14" t="inlineStr">
        <is>
          <t>Lunar Ventures</t>
        </is>
      </c>
      <c r="C20" s="13" t="inlineStr">
        <is>
          <t>A</t>
        </is>
      </c>
      <c r="D20" s="13" t="n">
        <v>92</v>
      </c>
      <c r="E20" s="15" t="inlineStr">
        <is>
          <t>Berlin</t>
        </is>
      </c>
      <c r="F20" s="18" t="inlineStr">
        <is>
          <t>DE</t>
        </is>
      </c>
      <c r="G20" s="15" t="inlineStr">
        <is>
          <t>VC (Pre-Seed First-Check-Fonds)</t>
        </is>
      </c>
      <c r="H20" s="16" t="inlineStr">
        <is>
          <t>Day Zero / Pre-Seed ausschliesslich, mit 40-60% Reserve fuer Follow-ons</t>
        </is>
      </c>
      <c r="I20" s="15" t="inlineStr">
        <is>
          <t>Ja - First Check und Pre-Seed-Lead</t>
        </is>
      </c>
      <c r="J20" s="16" t="inlineStr">
        <is>
          <t>750 Tsd. - 1 Mio. EUR, geplant 25-30 Investments aus Fund II</t>
        </is>
      </c>
      <c r="K20" s="16" t="inlineStr">
        <is>
          <t>50 Mio. EUR (Fund II, Mai 2025)</t>
        </is>
      </c>
      <c r="L20" s="18" t="inlineStr">
        <is>
          <t>Ja</t>
        </is>
      </c>
      <c r="M20" s="16" t="inlineStr">
        <is>
          <t>Technische Gruender an der Schnittstelle Infrastruktur, AI, Autonomie und Science. Fund II mit drei expliziten Feldern, darunter Companies, die seltene, hochwertige Daten in grossem Massstab erheben; 80% Europa, 20% USA ausserhalb der Bay Area.</t>
        </is>
      </c>
      <c r="N20" s="16" t="inlineStr">
        <is>
          <t>deepset (Haystack, souveraene AI-Infrastruktur), Zama (FHE), ElectricSQL (Multi-Agent-Datenplattform), Bruin (Modern Data Stack), Otera, Hathora</t>
        </is>
      </c>
      <c r="O20" s="16" t="inlineStr">
        <is>
          <t>Sehr hoch - eine der drei Fund-II-Kernthesen adressiert woertlich das Erheben seltener, hochqualitativer Daten in grossem Massstab, also exakt das PathWize-Geschaeftsmodell</t>
        </is>
      </c>
      <c r="P20" s="16" t="inlineStr">
        <is>
          <t>Data-Infra-nah</t>
        </is>
      </c>
      <c r="Q20" s="16" t="inlineStr">
        <is>
          <t>Dr. Elad Verbin</t>
        </is>
      </c>
      <c r="R20" s="16" t="inlineStr">
        <is>
          <t>Partner und technischer Lead / CTO-artige Rolle; Mick Halsband und Luis Shemtov als weitere Gruendungspartner</t>
        </is>
      </c>
      <c r="S20" s="16" t="inlineStr">
        <is>
          <t>n/a</t>
        </is>
      </c>
      <c r="T20" s="16" t="inlineStr">
        <is>
          <t>Kein oeffentliches Pitch-Formular oder E-Mail auf lunar.vc gefunden</t>
        </is>
      </c>
      <c r="U20" s="16" t="inlineStr">
        <is>
          <t>Fund II nennt als eine von drei Kernthesen ausdruecklich Companies, die seltene, hochwertige Daten im grossen Massstab sammeln - das ist eine woertliche Beschreibung von PathWize, dazu Berliner Standort und frisches Kapital.</t>
        </is>
      </c>
      <c r="V20" s="16" t="inlineStr">
        <is>
          <t>Ticket bei maximal 1 Mio. EUR und reiner Pre-Seed-Fokus - fuer eine Seed- oder Series-A-Runde nicht als Lead geeignet; kleiner Fonds mit begrenzter Follow-on-Kraft; kein oeffentlicher Kontaktweg.</t>
        </is>
      </c>
      <c r="W20" s="16" t="inlineStr">
        <is>
          <t>Direkt an Elad Verbin mit der Fund-II-These spiegeln: PathWize ist die Company, die seltene, hochwertige Trainingsdaten im industriellen Massstab produziert.</t>
        </is>
      </c>
      <c r="X20" s="18" t="n">
        <v>28</v>
      </c>
      <c r="Y20" s="18" t="n">
        <v>30</v>
      </c>
      <c r="Z20" s="18" t="n">
        <v>15</v>
      </c>
      <c r="AA20" s="18" t="n">
        <v>9</v>
      </c>
      <c r="AB20" s="18" t="n">
        <v>10</v>
      </c>
      <c r="AC20" s="18" t="inlineStr">
        <is>
          <t>Hoch</t>
        </is>
      </c>
      <c r="AD20" s="15" t="inlineStr">
        <is>
          <t>Bestandsliste</t>
        </is>
      </c>
      <c r="AE20" s="16" t="inlineStr">
        <is>
          <t>https://lunar.vc/</t>
        </is>
      </c>
      <c r="AF20" s="16" t="inlineStr">
        <is>
          <t>https://lunar.vc/, https://sifted.eu/articles/lunar-ventures-raises-50m, https://www.eu-startups.com/2025/05/berlin-based-vc-firm-lunar-ventures-launches-e50-million-fund-ii-for-pre-seed-deeptech-investments/, https://siliconcanals.com/lunar-ventures-launches-50m-pre-seed-fund/</t>
        </is>
      </c>
    </row>
    <row r="21">
      <c r="A21" s="12" t="n">
        <v>17</v>
      </c>
      <c r="B21" s="14" t="inlineStr">
        <is>
          <t>MMC Ventures</t>
        </is>
      </c>
      <c r="C21" s="13" t="inlineStr">
        <is>
          <t>A</t>
        </is>
      </c>
      <c r="D21" s="13" t="n">
        <v>91</v>
      </c>
      <c r="E21" s="15" t="inlineStr">
        <is>
          <t>London</t>
        </is>
      </c>
      <c r="F21" s="15" t="inlineStr">
        <is>
          <t>Grossbritannien</t>
        </is>
      </c>
      <c r="G21" s="15" t="inlineStr">
        <is>
          <t>VC (research-led)</t>
        </is>
      </c>
      <c r="H21" s="16" t="inlineStr">
        <is>
          <t>Seed und Series A</t>
        </is>
      </c>
      <c r="I21" s="15" t="inlineStr">
        <is>
          <t>Ja - fuehrt Seed- und Series-A-Runden an, mit Follow-on-Reserven</t>
        </is>
      </c>
      <c r="J21" s="16" t="inlineStr">
        <is>
          <t>bis 10 Mio. GBP Erstinvestment, plus Follow-ons</t>
        </is>
      </c>
      <c r="K21" s="16" t="inlineStr">
        <is>
          <t>ca. 450 Mio. USD AUM ueber vier Fonds; 200+ Investments, 24 Exits (Stand Maerz 2026)</t>
        </is>
      </c>
      <c r="L21" s="18" t="inlineStr">
        <is>
          <t>Ja</t>
        </is>
      </c>
      <c r="M21" s="16" t="inlineStr">
        <is>
          <t>Dezidiert 'early-stage AI and data companies across Europe'; Schwerpunkte Enterprise AI, Cloud &amp; Data Infrastructure, Data-driven Health, TechBio, Agentic Security; publiziert eigene State-of-AI-Research</t>
        </is>
      </c>
      <c r="N21" s="16" t="inlineStr">
        <is>
          <t>Snowplow (Behavioural Data Infrastructure), Ably (Realtime-Data-Infrastruktur), Signal AI, Synthesia (AI-Video), Albatross AI, Condukt, Red Sift, Sano Genetics</t>
        </is>
      </c>
      <c r="O21" s="16" t="inlineStr">
        <is>
          <t>Kein direktes Labeling-Investment nachweisbar, aber mit Snowplow und Ably zwei reine Dateninfrastruktur-Investments - der Fonds bewertet Data-Pipeline-Geschaeftsmodelle routiniert</t>
        </is>
      </c>
      <c r="P21" s="16" t="inlineStr">
        <is>
          <t>Data-Infra-nah</t>
        </is>
      </c>
      <c r="Q21" s="16" t="inlineStr">
        <is>
          <t>Simon Menashy</t>
        </is>
      </c>
      <c r="R21" s="16" t="inlineStr">
        <is>
          <t>Partner (Enterprise AI / B2B Software); weitere: Mina Samaan (Partner), Advika Jalan, Jamie Shelton, Prakriti Roy</t>
        </is>
      </c>
      <c r="S21" s="16" t="inlineStr">
        <is>
          <t>n/a</t>
        </is>
      </c>
      <c r="T21" s="16" t="inlineStr">
        <is>
          <t>mmc.vc/contact-us (Pitch-Formular), Tel. +44 (0) 207 938 2220, 24 High Holborn, London WC1V 6AZ</t>
        </is>
      </c>
      <c r="U21" s="16" t="inlineStr">
        <is>
          <t>MMC definiert sich woertlich als Investor in 'early-stage AI and data companies across Europe' mit Cloud &amp; Data Infrastructure als eigenem Sektorfeld und belegt das mit Snowplow und Ably - thesenseitig einer der praezisesten Treffer der Batch.</t>
        </is>
      </c>
      <c r="V21" s="16" t="inlineStr">
        <is>
          <t>Schwerpunkt Seed/Series A - fuer eine reine Pre-Seed-Runde eher zu spaet; deutlich UK-lastiges Portfolio; kein AUM-Ausweis auf der eigenen Website (Zahl aus Drittquelle)</t>
        </is>
      </c>
      <c r="W21" s="16" t="inlineStr">
        <is>
          <t>Ueber das Kontaktformular mit Bezug auf MMCs eigene State-of-AI-Research pitchen: PathWize liefert die Datenqualitaets-Schicht, die MMC in seinen Enterprise-AI-Reports als Adoptions-Engpass beschreibt.</t>
        </is>
      </c>
      <c r="X21" s="18" t="n">
        <v>27</v>
      </c>
      <c r="Y21" s="18" t="n">
        <v>30</v>
      </c>
      <c r="Z21" s="18" t="n">
        <v>17</v>
      </c>
      <c r="AA21" s="18" t="n">
        <v>9</v>
      </c>
      <c r="AB21" s="18" t="n">
        <v>8</v>
      </c>
      <c r="AC21" s="15" t="inlineStr">
        <is>
          <t>Mittel</t>
        </is>
      </c>
      <c r="AD21" s="15" t="inlineStr">
        <is>
          <t>Bestandsliste</t>
        </is>
      </c>
      <c r="AE21" s="16" t="inlineStr">
        <is>
          <t>https://mmc.vc/</t>
        </is>
      </c>
      <c r="AF21" s="16" t="inlineStr">
        <is>
          <t>https://mmc.vc/, https://mmc.vc/about-us/, https://superscout.co/investor/mmc-ventures, https://startupintros.com/orgs/mmc-ventures</t>
        </is>
      </c>
    </row>
    <row r="22">
      <c r="A22" s="12" t="n">
        <v>18</v>
      </c>
      <c r="B22" s="14" t="inlineStr">
        <is>
          <t>Speedinvest (AI &amp; Infra Team)</t>
        </is>
      </c>
      <c r="C22" s="13" t="inlineStr">
        <is>
          <t>A</t>
        </is>
      </c>
      <c r="D22" s="13" t="n">
        <v>91</v>
      </c>
      <c r="E22" s="15" t="inlineStr">
        <is>
          <t>Wien (zusaetzlich Berlin, Muenchen, London, Paris)</t>
        </is>
      </c>
      <c r="F22" s="18" t="inlineStr">
        <is>
          <t>AT</t>
        </is>
      </c>
      <c r="G22" s="15" t="inlineStr">
        <is>
          <t>VC (Plattform mit vertikalen Sektor-Teams)</t>
        </is>
      </c>
      <c r="H22" s="16" t="inlineStr">
        <is>
          <t>Pre-Seed und Seed; Speedinvest Growth als separates Vehikel fuer Folgerunden</t>
        </is>
      </c>
      <c r="I22" s="15" t="inlineStr">
        <is>
          <t>Ja - Pre-Seed- und Seed-Lead</t>
        </is>
      </c>
      <c r="J22" s="16" t="inlineStr">
        <is>
          <t>n/a - typische Erstickets im niedrigen einstelligen Mio.-EUR-Bereich</t>
        </is>
      </c>
      <c r="K22" s="16" t="inlineStr">
        <is>
          <t>350 Mio. EUR (Fund IV, 2024); ueber 1 Mrd. EUR AUM, 400+ Portfoliounternehmen</t>
        </is>
      </c>
      <c r="L22" s="18" t="inlineStr">
        <is>
          <t>Ja</t>
        </is>
      </c>
      <c r="M22" s="16" t="inlineStr">
        <is>
          <t>Dediziertes 'AI &amp; Infra'-Team: Investments in AI-Infrastruktur und Agent-Plattformen - von Modellen, Daten und Orchestrierung bis Security, Monitoring und Deployment; plus AI-native Anwendungen. Separates Deep-Tech-Team.</t>
        </is>
      </c>
      <c r="N22" s="16" t="inlineStr">
        <is>
          <t>Bitfount (Federated AI / Data Collaboration), Alinia AI, Emmi AI, Boltzbit, Adverity, Prewave, Bitmovin</t>
        </is>
      </c>
      <c r="O22" s="16" t="inlineStr">
        <is>
          <t>Mittel bis hoch - 'Daten' ist expliziter Bestandteil der AI-&amp;-Infra-These, aber kein Labeling-/Annotation-Investment belegt</t>
        </is>
      </c>
      <c r="P22" s="16" t="inlineStr">
        <is>
          <t>-</t>
        </is>
      </c>
      <c r="Q22" s="16" t="inlineStr">
        <is>
          <t>Markus Lang</t>
        </is>
      </c>
      <c r="R22" s="16" t="inlineStr">
        <is>
          <t>General Partner, AI &amp; Infra Team (zuvor verantwortlich fuer Pre-Seed-Aktivitaeten); Partner Frederik Hagenauer und Florian Obst im selben Team</t>
        </is>
      </c>
      <c r="S22" s="16" t="inlineStr">
        <is>
          <t>n/a (Profilseite: https://www.speedinvest.com/team-members/markus-lang)</t>
        </is>
      </c>
      <c r="T22" s="16" t="inlineStr">
        <is>
          <t>Pitch-/Kontaktformular auf speedinvest.com</t>
        </is>
      </c>
      <c r="U22" s="16" t="inlineStr">
        <is>
          <t>Groesster DACH-Fruehphasenfonds mit einem dedizierten AI-&amp;-Infra-Team, dessen These 'Daten' ausdruecklich als Investitionsfeld nennt, und mit Pre-Seed/Seed-Lead-Mandat direkt im Zielsegment von PathWize.</t>
        </is>
      </c>
      <c r="V22" s="16" t="inlineStr">
        <is>
          <t>Sehr breites Plattformportfolio mit 400+ Companies, entsprechend geringere Aufmerksamkeit pro Investment; kein belegtes Trainingsdaten-Investment; Ticketgroessen nicht oeffentlich.</t>
        </is>
      </c>
      <c r="W22" s="16" t="inlineStr">
        <is>
          <t>Direkt beim AI-&amp;-Infra-Team ansetzen und PathWize als den Daten-Baustein ihrer eigenen 'models, data, orchestration'-These positionieren, mit DACH-Enterprise-Kunden als Beleg.</t>
        </is>
      </c>
      <c r="X22" s="18" t="n">
        <v>30</v>
      </c>
      <c r="Y22" s="18" t="n">
        <v>28</v>
      </c>
      <c r="Z22" s="18" t="n">
        <v>14</v>
      </c>
      <c r="AA22" s="18" t="n">
        <v>9</v>
      </c>
      <c r="AB22" s="18" t="n">
        <v>10</v>
      </c>
      <c r="AC22" s="18" t="inlineStr">
        <is>
          <t>Hoch</t>
        </is>
      </c>
      <c r="AD22" s="15" t="inlineStr">
        <is>
          <t>Bestandsliste</t>
        </is>
      </c>
      <c r="AE22" s="16" t="inlineStr">
        <is>
          <t>https://www.speedinvest.com/ai-and-infra</t>
        </is>
      </c>
      <c r="AF22" s="16" t="inlineStr">
        <is>
          <t>https://www.speedinvest.com/ai-and-infra, https://www.speedinvest.com/team-members/markus-lang, https://www.speedinvest.com/knowledge/future-proofing-speedinvest-meet-the-management-team-leading-us-into-our-next-generation-of-success, https://www.speedinvest.com/portfolio</t>
        </is>
      </c>
    </row>
    <row r="23">
      <c r="A23" s="12" t="n">
        <v>19</v>
      </c>
      <c r="B23" s="14" t="inlineStr">
        <is>
          <t>High-Tech Gruenderfonds (HTGF)</t>
        </is>
      </c>
      <c r="C23" s="13" t="inlineStr">
        <is>
          <t>A</t>
        </is>
      </c>
      <c r="D23" s="13" t="n">
        <v>90</v>
      </c>
      <c r="E23" s="15" t="inlineStr">
        <is>
          <t>Bonn (weitere Bueros Berlin, Muenchen)</t>
        </is>
      </c>
      <c r="F23" s="15" t="inlineStr">
        <is>
          <t>Deutschland</t>
        </is>
      </c>
      <c r="G23" s="15" t="inlineStr">
        <is>
          <t>Public-Private VC (Seed-Fonds, BMWE/KfW Capital + ca. 45 Industriepartner)</t>
        </is>
      </c>
      <c r="H23" s="16" t="inlineStr">
        <is>
          <t>Pre-Seed und Seed, mit substanziellen Folgeinvestments in spaeteren Runden</t>
        </is>
      </c>
      <c r="I23" s="15" t="inlineStr">
        <is>
          <t>Ja, klassischer Lead-/Co-Lead-Investor in deutschen Seed-Runden</t>
        </is>
      </c>
      <c r="J23" s="16" t="inlineStr">
        <is>
          <t>Erstticket ca. 0,8 - 1 Mio. EUR, in Summe bis zu mehreren Mio. EUR ueber Folgerunden</t>
        </is>
      </c>
      <c r="K23" s="16" t="inlineStr">
        <is>
          <t>ueber 2 Mrd. EUR Fondsvolumen kumuliert; ueber 780 finanzierte Startups, ca. 200 Exits</t>
        </is>
      </c>
      <c r="L23" s="18" t="inlineStr">
        <is>
          <t>Ja</t>
        </is>
      </c>
      <c r="M23" s="16" t="inlineStr">
        <is>
          <t>Deep Tech, Digital Tech, Industrial Tech, Climate Tech, Life Sciences, Chemie. Im Segment Digital Tech werden AI/ML-Teams explizit adressiert - gesucht werden neuartige Architekturen, proprietaere Daten und klarer Kunden-ROI.</t>
        </is>
      </c>
      <c r="N23" s="16" t="inlineStr">
        <is>
          <t>SKY ENGINE AI (synthetische Trainingsdaten fuer Computer Vision), zahlreiche weitere Digital-Tech-/AI-Beteiligungen im Portfolio von ueber 780 Unternehmen.</t>
        </is>
      </c>
      <c r="O23" s="16" t="inlineStr">
        <is>
          <t>Sehr hoch: Mit SKY ENGINE AI hat HTGF bereits in Trainingsdaten-Erzeugung fuer Computer Vision investiert - direkt benachbart zu PathWize' Kerngeschaeft.</t>
        </is>
      </c>
      <c r="P23" s="16" t="inlineStr">
        <is>
          <t>DIREKT: Sky Engine – Wettbewerbskonflikt pruefen</t>
        </is>
      </c>
      <c r="Q23" s="16" t="inlineStr">
        <is>
          <t>Dr. Tanja Emmerling</t>
        </is>
      </c>
      <c r="R23" s="16" t="inlineStr">
        <is>
          <t>Partner, Head of Digital Tech (Team Digital Tech mit Markus Kressmann, Frank Kerim Reinecke, Dr. Ulrich Schmitt, Axel Nitsch)</t>
        </is>
      </c>
      <c r="S23" s="16" t="inlineStr">
        <is>
          <t>n/a</t>
        </is>
      </c>
      <c r="T23" s="16" t="inlineStr">
        <is>
          <t>info@htgf.de; Pitch-Deck-Upload unter https://www.htgf.de/en/pitch-deck-upload/</t>
        </is>
      </c>
      <c r="U23" s="16" t="inlineStr">
        <is>
          <t>HTGF ist der aktivste deutsche Pre-Seed-/Seed-Investor mit ueber 2 Mrd. EUR Fondsvolumen, adressiert AI/ML-Teams im Segment Digital Tech ausdruecklich und hat mit SKY ENGINE AI ein direktes Trainingsdaten-Investment.</t>
        </is>
      </c>
      <c r="V23" s="16" t="inlineStr">
        <is>
          <t>Standardisierte Beteiligungskonditionen und Wandeldarlehen-Logik; Unternehmen darf i.d.R. nicht aelter als drei Jahre sein; als Seed-Fonds oft nicht ausreichend fuer eine groessere Series A allein.</t>
        </is>
      </c>
      <c r="W23" s="16" t="inlineStr">
        <is>
          <t>Pitch-Deck an info@htgf.de mit direkter Referenz auf das SKY-ENGINE-AI-Investment: PathWize liefert die Human-in-the-loop-Ebene, die synthetische Daten allein nicht abdecken.</t>
        </is>
      </c>
      <c r="X23" s="18" t="n">
        <v>30</v>
      </c>
      <c r="Y23" s="18" t="n">
        <v>24</v>
      </c>
      <c r="Z23" s="18" t="n">
        <v>16</v>
      </c>
      <c r="AA23" s="18" t="n">
        <v>10</v>
      </c>
      <c r="AB23" s="18" t="n">
        <v>10</v>
      </c>
      <c r="AC23" s="18" t="inlineStr">
        <is>
          <t>Hoch</t>
        </is>
      </c>
      <c r="AD23" s="15" t="inlineStr">
        <is>
          <t>Bestandsliste</t>
        </is>
      </c>
      <c r="AE23" s="16" t="inlineStr">
        <is>
          <t>https://www.htgf.de/</t>
        </is>
      </c>
      <c r="AF23" s="16" t="inlineStr">
        <is>
          <t>https://www.htgf.de/en/digital-tech/, https://www.htgf.de/en/venture-capital-investor-2/, https://www.htgf.de/en/htgf-investment-sky-engine-ai/, https://superscout.co/investor/htgf-high-tech-grunderfonds, https://en.wikipedia.org/wiki/High-Tech_Gr%C3%BCnderfonds</t>
        </is>
      </c>
    </row>
    <row r="24">
      <c r="A24" s="12" t="n">
        <v>20</v>
      </c>
      <c r="B24" s="14" t="inlineStr">
        <is>
          <t>Partech</t>
        </is>
      </c>
      <c r="C24" s="13" t="inlineStr">
        <is>
          <t>A</t>
        </is>
      </c>
      <c r="D24" s="13" t="n">
        <v>90</v>
      </c>
      <c r="E24" s="15" t="inlineStr">
        <is>
          <t>Paris (zusaetzlich Berlin, London, San Francisco, Dakar)</t>
        </is>
      </c>
      <c r="F24" s="18" t="inlineStr">
        <is>
          <t>FR</t>
        </is>
      </c>
      <c r="G24" s="15" t="inlineStr">
        <is>
          <t>VC (Multi-Stage-Plattform mit eigenem Seed-Fonds)</t>
        </is>
      </c>
      <c r="H24" s="16" t="inlineStr">
        <is>
          <t>Partech Seed (ab Tag 1), Partech Venture (Series A/B), Partech Growth, Partech Africa, Partech Impact</t>
        </is>
      </c>
      <c r="I24" s="15" t="inlineStr">
        <is>
          <t>Ja - fuehrt Seed- und Series-A-Runden an bzw. co-leadet (z.B. Prolific Series A)</t>
        </is>
      </c>
      <c r="J24" s="16" t="inlineStr">
        <is>
          <t>Seed 0,3-3 Mio. EUR; Venture 5-12 Mio. EUR; Growth 25-70 Mio. EUR</t>
        </is>
      </c>
      <c r="K24" s="16" t="inlineStr">
        <is>
          <t>Fondsgroessen der einzelnen Vehikel nicht durchgaengig oeffentlich; Growth-Strategie allein ueber 1 Mrd. EUR ueber zwei Fonds</t>
        </is>
      </c>
      <c r="L24" s="15" t="inlineStr">
        <is>
          <t>Teilweise</t>
        </is>
      </c>
      <c r="M24" s="16" t="inlineStr">
        <is>
          <t>Multi-Stage-Plattform mit Fokus auf B2B-Digitalisierung, Enterprise-Software, Security, Cloud, Fintech, Healthcare und AI; Seed-Fonds mit 100 Unternehmer-Investoren als Co-Investoren</t>
        </is>
      </c>
      <c r="N24" s="16" t="inlineStr">
        <is>
          <t>V7 Labs (Trainingsdaten-Plattform, Seed-Investor), Prolific (Human-Data-Plattform fuer AI-Training und -Evaluation, 25 Mio. GBP Series A co-gefuehrt), breites Enterprise-Software-Portfolio</t>
        </is>
      </c>
      <c r="O24" s="16" t="inlineStr">
        <is>
          <t>Sehr hoch - zwei belegte Investments in Human-Data/Trainingsdaten (V7 Labs und Prolific); Partech ist damit einer der wenigen europaeischen Fonds mit Doppelerfahrung in dieser Kategorie</t>
        </is>
      </c>
      <c r="P24" s="16" t="inlineStr">
        <is>
          <t>DIREKT: Prolific, V7 – Wettbewerbskonflikt pruefen</t>
        </is>
      </c>
      <c r="Q24" s="16" t="inlineStr">
        <is>
          <t>Omri Benayoun</t>
        </is>
      </c>
      <c r="R24" s="16" t="inlineStr">
        <is>
          <t>General Partner, verantwortet die Growth-Strategie (nicht Seed) - fuehrte das Prolific-Investment. Fuer Pre-Seed/Seed ist das Partech-Seed-Team der richtige Einstieg.</t>
        </is>
      </c>
      <c r="S24" s="16" t="inlineStr">
        <is>
          <t>n/a</t>
        </is>
      </c>
      <c r="T24" s="16" t="inlineStr">
        <is>
          <t>Kontaktformular auf partechpartners.com</t>
        </is>
      </c>
      <c r="U24" s="16" t="inlineStr">
        <is>
          <t>Partech hat mit V7 Labs und Prolific gleich zwei Trainingsdaten-/Human-Data-Companies finanziert und bietet mit dem Seed-Fonds (0,3-3 Mio. EUR ab Tag 1) plus Berliner Buero einen durchgaengigen Kapitalpfad bis Series A und darueber hinaus.</t>
        </is>
      </c>
      <c r="V24" s="16" t="inlineStr">
        <is>
          <t>Omri Benayoun deckt die Growth-Strategie ab, nicht Seed - die Ausgangsannahme aus der Batch-Datei ist hier zu korrigieren; V7 und Prolific koennen als Wettbewerber Konflikte erzeugen; sehr grosse generalistische Plattform ohne dedizierte Data-Infra-These.</t>
        </is>
      </c>
      <c r="W24" s="16" t="inlineStr">
        <is>
          <t>Beim Partech-Seed-Team einsteigen und die eigene Prolific-/V7-Erfahrung des Hauses als Beleg nutzen, dass Human-in-the-loop-Trainingsdaten eine eigene Kategorie sind - mit PathWize als DACH-Enterprise-Variante.</t>
        </is>
      </c>
      <c r="X24" s="18" t="n">
        <v>28</v>
      </c>
      <c r="Y24" s="18" t="n">
        <v>24</v>
      </c>
      <c r="Z24" s="18" t="n">
        <v>20</v>
      </c>
      <c r="AA24" s="18" t="n">
        <v>9</v>
      </c>
      <c r="AB24" s="18" t="n">
        <v>9</v>
      </c>
      <c r="AC24" s="15" t="inlineStr">
        <is>
          <t>Mittel</t>
        </is>
      </c>
      <c r="AD24" s="15" t="inlineStr">
        <is>
          <t>Bestandsliste</t>
        </is>
      </c>
      <c r="AE24" s="16" t="inlineStr">
        <is>
          <t>https://partechpartners.com/</t>
        </is>
      </c>
      <c r="AF24" s="16" t="inlineStr">
        <is>
          <t>https://partechpartners.com/funds, https://partechpartners.com/news/prolific-announces-25m-funding-to-improve-ai-systems-with-high-quality-verifiable-human-insights, https://partechpartners.com/news/v7-labs-raises-3-million-empower-ai-teams-automated-training-data-workflows, https://partechpartners.com/team/omri-benayoun</t>
        </is>
      </c>
    </row>
    <row r="25">
      <c r="A25" s="12" t="n">
        <v>21</v>
      </c>
      <c r="B25" s="14" t="inlineStr">
        <is>
          <t>TS Ventures</t>
        </is>
      </c>
      <c r="C25" s="13" t="inlineStr">
        <is>
          <t>A</t>
        </is>
      </c>
      <c r="D25" s="13" t="n">
        <v>90</v>
      </c>
      <c r="E25" s="15" t="inlineStr">
        <is>
          <t>Bergisch Gladbach / Köln</t>
        </is>
      </c>
      <c r="F25" s="15" t="inlineStr">
        <is>
          <t>Deutschland</t>
        </is>
      </c>
      <c r="G25" s="15" t="inlineStr">
        <is>
          <t>VC (Founder-led, Angel-nah)</t>
        </is>
      </c>
      <c r="H25" s="16" t="inlineStr">
        <is>
          <t>Pre-Seed und Seed</t>
        </is>
      </c>
      <c r="I25" s="15" t="inlineStr">
        <is>
          <t>Teilweise – führt kleine Pre-Seed-Runden an, sonst Co-Investor</t>
        </is>
      </c>
      <c r="J25" s="16" t="inlineStr">
        <is>
          <t>100.000 – 500.000 EUR Initial-Ticket</t>
        </is>
      </c>
      <c r="K25" s="16" t="inlineStr">
        <is>
          <t>n/a (nicht offengelegt; &gt;20 Portfolio-Companies)</t>
        </is>
      </c>
      <c r="L25" s="18" t="inlineStr">
        <is>
          <t>Ja</t>
        </is>
      </c>
      <c r="M25" s="16" t="inlineStr">
        <is>
          <t>Explizit: technische Gründer, die AI, SaaS, DevTools und B2B-Infrastruktur bauen; Geografie Deutschland, EU und USA</t>
        </is>
      </c>
      <c r="N25" s="16" t="inlineStr">
        <is>
          <t>Peec AI (AI-Visibility-Analytics), Jamie (AI-Notizassistent für regulierte Umgebungen), Impossible Cloud (dezentrale Cloud-Storage-/Compute-Infrastruktur), PiwikPro (Analytics), saas.group, Ecosia, Pachama</t>
        </is>
      </c>
      <c r="O25" s="16" t="inlineStr">
        <is>
          <t>Hoch – die These 'AI + DevTools + B2B-Infrastruktur' deckt Data-Infrastruktur direkt ab; kein reines Labeling-Investment belegt, aber Impossible Cloud und Peec AI zeigen den Infra-Appetit</t>
        </is>
      </c>
      <c r="P25" s="16" t="inlineStr">
        <is>
          <t>-</t>
        </is>
      </c>
      <c r="Q25" s="16" t="inlineStr">
        <is>
          <t>Tim Schumacher</t>
        </is>
      </c>
      <c r="R25" s="16" t="inlineStr">
        <is>
          <t>Partner &amp; Co-Founder (zuvor Co-Founder Sedo.com, Chairman Ecosia); weiterer Partner: Stephan Jacquemot; Adrian Sinner-Dorsch (Investment Manager)</t>
        </is>
      </c>
      <c r="S25" s="16" t="inlineStr">
        <is>
          <t>n/a</t>
        </is>
      </c>
      <c r="T25" s="16" t="inlineStr">
        <is>
          <t>Pitch-Formular (Google Form) verlinkt auf tsventures.io; LinkedIn: https://www.linkedin.com/company/tsventures</t>
        </is>
      </c>
      <c r="U25" s="16" t="inlineStr">
        <is>
          <t>Wortwörtliche These-Übereinstimmung: TS Ventures investiert explizit in technische Gründer im Bereich AI, DevTools und B2B-Infrastruktur in Pre-Seed/Seed in Deutschland. Portfolio (Peec AI, Jamie, Impossible Cloud) belegt echten AI-/Infra-Track-Record.</t>
        </is>
      </c>
      <c r="V25" s="16" t="inlineStr">
        <is>
          <t>Kleines Ticket (100–500 TEUR) – kann eine Seed-Runde nicht allein tragen und führt selten größere Runden an; Fondsgröße intransparent</t>
        </is>
      </c>
      <c r="W25" s="16" t="inlineStr">
        <is>
          <t>Direkt über das Pitch-Formular mit der Botschaft: 'Wir sind technische Gründer und bauen die B2B-Dateninfrastruktur-Schicht (Human-in-the-loop Trainingsdaten), auf der eure AI-Portfolio-Companies aufsetzen.'</t>
        </is>
      </c>
      <c r="X25" s="18" t="n">
        <v>26</v>
      </c>
      <c r="Y25" s="18" t="n">
        <v>30</v>
      </c>
      <c r="Z25" s="18" t="n">
        <v>16</v>
      </c>
      <c r="AA25" s="18" t="n">
        <v>8</v>
      </c>
      <c r="AB25" s="18" t="n">
        <v>10</v>
      </c>
      <c r="AC25" s="18" t="inlineStr">
        <is>
          <t>Hoch</t>
        </is>
      </c>
      <c r="AD25" s="15" t="inlineStr">
        <is>
          <t>Bestandsliste</t>
        </is>
      </c>
      <c r="AE25" s="16" t="inlineStr">
        <is>
          <t>https://www.tsventures.io/</t>
        </is>
      </c>
      <c r="AF25" s="16" t="inlineStr">
        <is>
          <t>https://www.tsventures.io/, https://www.startbase.com/organization/ts-ventures/, https://www.crunchbase.com/organization/ts-ventures-gmbh</t>
        </is>
      </c>
    </row>
    <row r="26">
      <c r="A26" s="12" t="n">
        <v>22</v>
      </c>
      <c r="B26" s="14" t="inlineStr">
        <is>
          <t>Zetta Venture Partners</t>
        </is>
      </c>
      <c r="C26" s="13" t="inlineStr">
        <is>
          <t>A</t>
        </is>
      </c>
      <c r="D26" s="13" t="n">
        <v>90</v>
      </c>
      <c r="E26" s="15" t="inlineStr">
        <is>
          <t>San Francisco (zusaetzlich New York)</t>
        </is>
      </c>
      <c r="F26" s="18" t="inlineStr">
        <is>
          <t>US</t>
        </is>
      </c>
      <c r="G26" s="18" t="inlineStr">
        <is>
          <t>VC</t>
        </is>
      </c>
      <c r="H26" s="16" t="inlineStr">
        <is>
          <t>Pre-Seed / Seed als Kern, Folgeinvestments bis Series B; ausschliesslich AI-first B2B</t>
        </is>
      </c>
      <c r="I26" s="15" t="inlineStr">
        <is>
          <t>Ja - fuehrt oder co-fuehrt die grosse Mehrheit ihrer Pre-Seed- und Seed-Runden an</t>
        </is>
      </c>
      <c r="J26" s="16" t="inlineStr">
        <is>
          <t>1-5 Mio. USD</t>
        </is>
      </c>
      <c r="K26" s="16" t="inlineStr">
        <is>
          <t>180 Mio. USD (Fund III, 2020); Fund IV existiert, Groesse n/a</t>
        </is>
      </c>
      <c r="L26" s="18" t="inlineStr">
        <is>
          <t>Ja</t>
        </is>
      </c>
      <c r="M26" s="16" t="inlineStr">
        <is>
          <t>'First Believers in AI Native Founders' - ausschliesslich AI-first Companies mit B2B-Modell; explizit AI-Anwendungen, Developer Tools und Dateninfrastruktur, proprietaere Daten als Moat</t>
        </is>
      </c>
      <c r="N26" s="16" t="inlineStr">
        <is>
          <t>Weaviate (Vector DB, 50 Mio. USD Series C 2025), MotherDuck, Tabular, Domino Data Lab (MLOps), Kaggle, Lilt (Human-in-the-loop-Uebersetzung), Clearbit, Tractable, Nabla</t>
        </is>
      </c>
      <c r="O26" s="16" t="inlineStr">
        <is>
          <t>Hoch - Lilt ist ein Human-in-the-loop-Modell, Domino Data Lab und Kaggle sind ML-Workflow-nah; kein reines Annotation-Investment belegt</t>
        </is>
      </c>
      <c r="P26" s="16" t="inlineStr">
        <is>
          <t>Data-Infra-nah</t>
        </is>
      </c>
      <c r="Q26" s="16" t="inlineStr">
        <is>
          <t>Apoorva Pandhi</t>
        </is>
      </c>
      <c r="R26" s="16" t="inlineStr">
        <is>
          <t>Managing Partner (Fokus AI-native Infrastruktur und Anwendungen); daneben Jocelyn Goldfein (Managing Director) und Gruender Mark Gorenberg</t>
        </is>
      </c>
      <c r="S26" s="16" t="inlineStr">
        <is>
          <t>n/a</t>
        </is>
      </c>
      <c r="T26" s="16" t="inlineStr">
        <is>
          <t>Kein oeffentliches Pitch-Formular auf zettavp.com gefunden; Buero 168 South Park, San Francisco</t>
        </is>
      </c>
      <c r="U26" s="16" t="inlineStr">
        <is>
          <t>Der erste Fonds ueberhaupt mit reiner AI-first-These und expliziter Dateninfrastruktur-Allokation; fuehrt Seed-Runden an und hat mit Weaviate, Domino und Lilt exakt das benachbarte Portfolio.</t>
        </is>
      </c>
      <c r="V26" s="16" t="inlineStr">
        <is>
          <t>US-Fonds ohne europaeisches Buero - DACH-Deals sind die Ausnahme, US-Inkorporation wird oft erwartet; Fund-IV-Groesse und aktuelle Dry-Powder-Lage nicht belegbar; kein oeffentlicher Kontaktweg.</t>
        </is>
      </c>
      <c r="W26" s="16" t="inlineStr">
        <is>
          <t>Als AI-first Data-Company mit europaeischem Enterprise- und Compliance-Zugang pitchen, die den Trainingsdaten-Moat liefert, den Zettas These zum Kern erklaert.</t>
        </is>
      </c>
      <c r="X26" s="18" t="n">
        <v>29</v>
      </c>
      <c r="Y26" s="18" t="n">
        <v>30</v>
      </c>
      <c r="Z26" s="18" t="n">
        <v>18</v>
      </c>
      <c r="AA26" s="18" t="n">
        <v>9</v>
      </c>
      <c r="AB26" s="18" t="n">
        <v>4</v>
      </c>
      <c r="AC26" s="15" t="inlineStr">
        <is>
          <t>Mittel</t>
        </is>
      </c>
      <c r="AD26" s="15" t="inlineStr">
        <is>
          <t>Bestandsliste</t>
        </is>
      </c>
      <c r="AE26" s="16" t="inlineStr">
        <is>
          <t>https://www.zettavp.com/</t>
        </is>
      </c>
      <c r="AF26" s="16" t="inlineStr">
        <is>
          <t>https://www.zettavp.com/, https://tracxn.com/d/venture-capital/zetta-venture-partners/__XpixmCvlgJI8mxZFeF9YzDGLQCqddLJpDFS5w3nrBV0, https://www.vcsheet.com/fund/zetta-venture-partners, https://pitchbook.com/profiles/fund/25732-27F</t>
        </is>
      </c>
    </row>
    <row r="27">
      <c r="A27" s="12" t="n">
        <v>23</v>
      </c>
      <c r="B27" s="14" t="inlineStr">
        <is>
          <t>Atlantic Labs</t>
        </is>
      </c>
      <c r="C27" s="13" t="inlineStr">
        <is>
          <t>A</t>
        </is>
      </c>
      <c r="D27" s="13" t="n">
        <v>89</v>
      </c>
      <c r="E27" s="15" t="inlineStr">
        <is>
          <t>Berlin (Rosenthaler Str. 13, 10119)</t>
        </is>
      </c>
      <c r="F27" s="18" t="inlineStr">
        <is>
          <t>DE</t>
        </is>
      </c>
      <c r="G27" s="18" t="inlineStr">
        <is>
          <t>VC</t>
        </is>
      </c>
      <c r="H27" s="16" t="inlineStr">
        <is>
          <t>Pre-Seed (Schwerpunkt), Seed, selektiv Series A</t>
        </is>
      </c>
      <c r="I27" s="15" t="inlineStr">
        <is>
          <t>Ja - fuehrt Pre-Seed-Runden europaweit an ('leads pre-seed rounds with speed and conviction')</t>
        </is>
      </c>
      <c r="J27" s="16" t="inlineStr">
        <is>
          <t>ca. 25.000 EUR bis 5 Mio. EUR+ (Erstticket typischerweise Pre-Seed-Groesse)</t>
        </is>
      </c>
      <c r="K27" s="16" t="inlineStr">
        <is>
          <t>Fuenfter Early-Stage-Fonds ca. 80 Mio. EUR; 215+ Portfoliounternehmen seit 2013</t>
        </is>
      </c>
      <c r="L27" s="18" t="inlineStr">
        <is>
          <t>Ja</t>
        </is>
      </c>
      <c r="M27" s="16" t="inlineStr">
        <is>
          <t>Thesengetrieben mit vier Kernfeldern: AI &amp; Compute, Energy &amp; Climate, Industrial &amp; Robotics, Space &amp; Security; Pre-Seed-First, Hands-on bei Fundraising und Hiring</t>
        </is>
      </c>
      <c r="N27" s="16" t="inlineStr">
        <is>
          <t>Eigene Vertikale 'AI &amp; Compute'; belegt u.a. Softr (AI-Plattform fuer Business-Software ohne Code); historisch breites Tech-Portfolio (SoundCloud, GetYourGuide, Clue, Vimcar). Vollstaendige AI-Portfolioliste ueber die Website nicht abrufbar (403)</t>
        </is>
      </c>
      <c r="O27" s="16" t="inlineStr">
        <is>
          <t>Hoch: 'AI &amp; Compute' als explizite Investmentvertikale macht Trainingsdaten-/Data-Infrastruktur zum Kernthema; ein direktes Labeling-Investment ist jedoch nicht belegbar</t>
        </is>
      </c>
      <c r="P27" s="16" t="inlineStr">
        <is>
          <t>-</t>
        </is>
      </c>
      <c r="Q27" s="16" t="inlineStr">
        <is>
          <t>Christophe Maire</t>
        </is>
      </c>
      <c r="R27" s="16" t="inlineStr">
        <is>
          <t>Founder &amp; Managing Partner (Team von 19 Personen, davon 4 Partner)</t>
        </is>
      </c>
      <c r="S27" s="16" t="inlineStr">
        <is>
          <t>n/a</t>
        </is>
      </c>
      <c r="T27" s="16" t="inlineStr">
        <is>
          <t>Ueber Website https://atlantic.vc/ bzw. LinkedIn https://www.linkedin.com/company/atlantic-labs; Standort Rosenthaler Str. 13, 10119 Berlin</t>
        </is>
      </c>
      <c r="U27" s="16" t="inlineStr">
        <is>
          <t>Einer der wenigen deutschen Fonds, die Pre-Seed aktiv anfuehren, mit 'AI &amp; Compute' als offiziell ausgewiesener Kernvertikale und frischem ca. 80-Mio.-EUR-Fonds. Stage, These, Geo und Ticketgroesse passen fuer PathWize praktisch ideal.</t>
        </is>
      </c>
      <c r="V27" s="16" t="inlineStr">
        <is>
          <t>Website liefert derzeit 403 - Portfolio- und Kontaktdetails nur ueber Drittquellen verifizierbar; sehr breites Themenspektrum (Space, Climate, Robotics) bedeutet Konkurrenz um Fondskapazitaet; kein belegtes reines Labeling-Investment</t>
        </is>
      </c>
      <c r="W27" s="16" t="inlineStr">
        <is>
          <t>Direkt auf die 'AI &amp; Compute'-These zielen: PathWize ist das Datenfundament dieser Vertikale und sucht einen Pre-Seed-Lead, der wie Atlantic schnell und mit Konviktion entscheidet.</t>
        </is>
      </c>
      <c r="X27" s="18" t="n">
        <v>29</v>
      </c>
      <c r="Y27" s="18" t="n">
        <v>27</v>
      </c>
      <c r="Z27" s="18" t="n">
        <v>14</v>
      </c>
      <c r="AA27" s="18" t="n">
        <v>9</v>
      </c>
      <c r="AB27" s="18" t="n">
        <v>10</v>
      </c>
      <c r="AC27" s="15" t="inlineStr">
        <is>
          <t>Mittel</t>
        </is>
      </c>
      <c r="AD27" s="15" t="inlineStr">
        <is>
          <t>Bestandsliste</t>
        </is>
      </c>
      <c r="AE27" s="16" t="inlineStr">
        <is>
          <t>https://atlantic.vc/ (frueher atlanticlabs.de)</t>
        </is>
      </c>
      <c r="AF27" s="16" t="inlineStr">
        <is>
          <t>https://atlantic.vc/, https://tracxn.com/d/venture-capital/atlantic-labs/__Z65_wq8XFTCRyAdtte4xbdksTprX-lRKBfRfL8TmQU4, https://superscout.co/investor/atlantic-labs, https://www.crunchbase.com/organization/atlantic-labs</t>
        </is>
      </c>
    </row>
    <row r="28">
      <c r="A28" s="12" t="n">
        <v>24</v>
      </c>
      <c r="B28" s="14" t="inlineStr">
        <is>
          <t>Capnamic Ventures</t>
        </is>
      </c>
      <c r="C28" s="13" t="inlineStr">
        <is>
          <t>A</t>
        </is>
      </c>
      <c r="D28" s="13" t="n">
        <v>89</v>
      </c>
      <c r="E28" s="15" t="inlineStr">
        <is>
          <t>Koeln (zusaetzlich Berlin und Bremen)</t>
        </is>
      </c>
      <c r="F28" s="18" t="inlineStr">
        <is>
          <t>DE</t>
        </is>
      </c>
      <c r="G28" s="18" t="inlineStr">
        <is>
          <t>VC</t>
        </is>
      </c>
      <c r="H28" s="16" t="inlineStr">
        <is>
          <t>Pre-Seed, Seed, Series A inkl. Follow-ons</t>
        </is>
      </c>
      <c r="I28" s="15" t="inlineStr">
        <is>
          <t>Ja, fuehrt Fruehphasenrunden regelmaessig an</t>
        </is>
      </c>
      <c r="J28" s="16" t="inlineStr">
        <is>
          <t>typischerweise ca. 0,5 - 5 Mio. EUR Erstinvestment (Follow-ons reserviert)</t>
        </is>
      </c>
      <c r="K28" s="16" t="inlineStr">
        <is>
          <t>aktueller Fonds ca. 215 Mio. USD; Managementzulassung bis 500 Mio. EUR</t>
        </is>
      </c>
      <c r="L28" s="18" t="inlineStr">
        <is>
          <t>Ja</t>
        </is>
      </c>
      <c r="M28" s="16" t="inlineStr">
        <is>
          <t>Technologiegetriebene B2B-Unternehmen aus dem deutschsprachigen Raum mit globaler Ambition; 'We invest before teams turn into companies'</t>
        </is>
      </c>
      <c r="N28" s="16" t="inlineStr">
        <is>
          <t>QuantPi (Explainable AI und AI-Governance), Cedalo (Daten-/IoT-Messaging-Infrastruktur), Dexory (AI-gestuetzte Bestandserfassung), Black Semiconductor</t>
        </is>
      </c>
      <c r="O28" s="16" t="inlineStr">
        <is>
          <t>Kein direktes Labeling-Investment, aber mit QuantPi und Cedalo belegte Naehe zu AI-Qualitaet, Modellvalidierung und Dateninfrastruktur</t>
        </is>
      </c>
      <c r="P28" s="16" t="inlineStr">
        <is>
          <t>-</t>
        </is>
      </c>
      <c r="Q28" s="16" t="inlineStr">
        <is>
          <t>Joerg Binnenbruecker</t>
        </is>
      </c>
      <c r="R28" s="16" t="inlineStr">
        <is>
          <t>Founding / Managing Partner</t>
        </is>
      </c>
      <c r="S28" s="16" t="inlineStr">
        <is>
          <t>https://de.linkedin.com/in/joerg1</t>
        </is>
      </c>
      <c r="T28" s="16" t="inlineStr">
        <is>
          <t>Connect-Formular auf capnamic.com/connect</t>
        </is>
      </c>
      <c r="U28" s="16" t="inlineStr">
        <is>
          <t>Einer der aktivsten DACH-Fruehphasenleads fuer technisches B2B mit belegten AI-Investments wie QuantPi und passendem Ticket fuer Pre-Seed bis Series A.</t>
        </is>
      </c>
      <c r="V28" s="16" t="inlineStr">
        <is>
          <t>Breite B2B-These ohne dediziertes Data-Infrastruktur-Programm; hoher Dealflow bedeutet starken Wettbewerb um Aufmerksamkeit</t>
        </is>
      </c>
      <c r="W28" s="16" t="inlineStr">
        <is>
          <t>Ueber die QuantPi-Analogie einsteigen: PathWize liefert die Trainingsdatenqualitaet, ohne die AI-Governance und Modellvalidierung im europaeischen B2B-Markt nicht funktionieren.</t>
        </is>
      </c>
      <c r="X28" s="18" t="n">
        <v>30</v>
      </c>
      <c r="Y28" s="18" t="n">
        <v>25</v>
      </c>
      <c r="Z28" s="18" t="n">
        <v>15</v>
      </c>
      <c r="AA28" s="18" t="n">
        <v>9</v>
      </c>
      <c r="AB28" s="18" t="n">
        <v>10</v>
      </c>
      <c r="AC28" s="18" t="inlineStr">
        <is>
          <t>Hoch</t>
        </is>
      </c>
      <c r="AD28" s="15" t="inlineStr">
        <is>
          <t>Bestandsliste</t>
        </is>
      </c>
      <c r="AE28" s="16" t="inlineStr">
        <is>
          <t>https://capnamic.com/</t>
        </is>
      </c>
      <c r="AF28" s="16" t="inlineStr">
        <is>
          <t>https://capnamic.com/, https://capnamic.com/team, https://www.crunchbase.com/organization/capnamic-ventures, https://de.linkedin.com/in/joerg1</t>
        </is>
      </c>
    </row>
    <row r="29">
      <c r="A29" s="12" t="n">
        <v>25</v>
      </c>
      <c r="B29" s="14" t="inlineStr">
        <is>
          <t>Cherry Ventures</t>
        </is>
      </c>
      <c r="C29" s="13" t="inlineStr">
        <is>
          <t>A</t>
        </is>
      </c>
      <c r="D29" s="13" t="n">
        <v>89</v>
      </c>
      <c r="E29" s="15" t="inlineStr">
        <is>
          <t>Berlin (weitere Bueros London, Stockholm)</t>
        </is>
      </c>
      <c r="F29" s="15" t="inlineStr">
        <is>
          <t>Deutschland</t>
        </is>
      </c>
      <c r="G29" s="18" t="inlineStr">
        <is>
          <t>VC</t>
        </is>
      </c>
      <c r="H29" s="16" t="inlineStr">
        <is>
          <t>Pre-Seed &amp; Seed (Schwerpunkt), Folgeinvestments bis Series A</t>
        </is>
      </c>
      <c r="I29" s="15" t="inlineStr">
        <is>
          <t>Ja (haeufiger Lead bzw. Co-Lead)</t>
        </is>
      </c>
      <c r="J29" s="16" t="inlineStr">
        <is>
          <t>2 bis 7 Mio. EUR</t>
        </is>
      </c>
      <c r="K29" s="16" t="inlineStr">
        <is>
          <t>ca. 900 Mio. USD kumuliert; ca. 500 Mio. USD neu eingesammelt (Februar 2025, mehrere Vehikel)</t>
        </is>
      </c>
      <c r="L29" s="18" t="inlineStr">
        <is>
          <t>Ja</t>
        </is>
      </c>
      <c r="M29" s="16" t="inlineStr">
        <is>
          <t>Europaeischer Early-Stage-Generalist mit deutlichem Tilt zu AI-native Enterprise Software, Automation und Industrials; ca. 10-12 Deals pro Jahr, 279 Investments gesamt</t>
        </is>
      </c>
      <c r="N29" s="16" t="inlineStr">
        <is>
          <t>Dash0 (AI-native Observability, OpenTelemetry, Series A und B mit Cherry als Co-Lead, Unicorn 2026), Sphinx Labs, Manifold, Plato, Qualifyze, Tacto, Proxima Fusion; juengste Seeds durchgaengig AI-native</t>
        </is>
      </c>
      <c r="O29" s="16" t="inlineStr">
        <is>
          <t>Hoch - Dash0 belegt, dass Cherry Daten- und Infrastruktur-Layer fuer AI-Systeme aktiv finanziert und bis Series B durchhaelt</t>
        </is>
      </c>
      <c r="P29" s="16" t="inlineStr">
        <is>
          <t>-</t>
        </is>
      </c>
      <c r="Q29" s="16" t="inlineStr">
        <is>
          <t>Lutz Finger</t>
        </is>
      </c>
      <c r="R29" s="16" t="inlineStr">
        <is>
          <t>Venture Partner mit Data-/AI-Hintergrund (ex-LinkedIn, ex-Snap); fuer Data-Infra-Deals der naechstliegende Einstiegspunkt neben dem Berliner Investmentteam</t>
        </is>
      </c>
      <c r="S29" s="16" t="inlineStr">
        <is>
          <t>https://www.linkedin.com/in/lutzfinger</t>
        </is>
      </c>
      <c r="T29" s="16" t="inlineStr">
        <is>
          <t>Kontakt-/Pitchformular auf https://www.cherry.vc/</t>
        </is>
      </c>
      <c r="U29" s="16" t="inlineStr">
        <is>
          <t>Sehr aktiver Berliner Seed-Lead mit rund 900 Mio. USD AUM, 2-7-Mio.-Tickets und einer klar erkennbaren AI-native-Ausrichtung der juengsten Investments; Dash0 zeigt, dass Cherry Infrastruktur-Layer fuer AI bis in spaetere Runden begleitet. Geo und Stage sind ein perfekter Match.</t>
        </is>
      </c>
      <c r="V29" s="16" t="inlineStr">
        <is>
          <t>Formal Generalist ohne dedizierten Data-Infra-Partner in Europa; hohe Selektivitaet bei nur ca. 10-12 Deals pro Jahr; Servicelastige Data-Labeling-Modelle koennten am Skalierbarkeitsargument scheitern</t>
        </is>
      </c>
      <c r="W29" s="16" t="inlineStr">
        <is>
          <t>Als Infrastruktur-Play im Stil von Dash0 positionieren - kein Dienstleister, sondern die produktisierte Datenschicht unter europaeischen AI-Systemen - und ueber Lutz Finger als Data-/AI-Sparringspartner andocken.</t>
        </is>
      </c>
      <c r="X29" s="18" t="n">
        <v>28</v>
      </c>
      <c r="Y29" s="18" t="n">
        <v>25</v>
      </c>
      <c r="Z29" s="18" t="n">
        <v>16</v>
      </c>
      <c r="AA29" s="18" t="n">
        <v>10</v>
      </c>
      <c r="AB29" s="18" t="n">
        <v>10</v>
      </c>
      <c r="AC29" s="18" t="inlineStr">
        <is>
          <t>Hoch</t>
        </is>
      </c>
      <c r="AD29" s="15" t="inlineStr">
        <is>
          <t>Bestandsliste</t>
        </is>
      </c>
      <c r="AE29" s="16" t="inlineStr">
        <is>
          <t>https://www.cherry.vc/</t>
        </is>
      </c>
      <c r="AF29" s="16" t="inlineStr">
        <is>
          <t>https://www.cherry.vc/, https://www.cherry.vc/founder-companies/dash0, https://sifted.eu/articles/cherry-ventures-accel-35m-dash0, https://www.dash0.com/blog/dash0-raises-usd110m-series-b, https://tracxn.com/d/venture-capital/cherry-ventures/__7PbItYkdBhSPkptXDIny7EDe9suBzOwbA3oXlK7J_BU</t>
        </is>
      </c>
    </row>
    <row r="30">
      <c r="A30" s="12" t="n">
        <v>26</v>
      </c>
      <c r="B30" s="14" t="inlineStr">
        <is>
          <t>Connect Ventures</t>
        </is>
      </c>
      <c r="C30" s="13" t="inlineStr">
        <is>
          <t>A</t>
        </is>
      </c>
      <c r="D30" s="13" t="n">
        <v>89</v>
      </c>
      <c r="E30" s="15" t="inlineStr">
        <is>
          <t>London</t>
        </is>
      </c>
      <c r="F30" s="18" t="inlineStr">
        <is>
          <t>UK</t>
        </is>
      </c>
      <c r="G30" s="18" t="inlineStr">
        <is>
          <t>VC</t>
        </is>
      </c>
      <c r="H30" s="16" t="inlineStr">
        <is>
          <t>Pre-Seed, Seed</t>
        </is>
      </c>
      <c r="I30" s="15" t="inlineStr">
        <is>
          <t>Ja, fuehrt als Lead oder Co-Lead an</t>
        </is>
      </c>
      <c r="J30" s="16" t="inlineStr">
        <is>
          <t>ca. 0,5 - 5 Mio. USD</t>
        </is>
      </c>
      <c r="K30" s="16" t="inlineStr">
        <is>
          <t>Fonds IV aktiv (Groesse nicht oeffentlich ausgewiesen); pan-europaeischer Fruehphasenspezialist seit 2012</t>
        </is>
      </c>
      <c r="L30" s="18" t="inlineStr">
        <is>
          <t>Ja</t>
        </is>
      </c>
      <c r="M30" s="16" t="inlineStr">
        <is>
          <t>Thesengetriebener pan-europaeischer Pre-Seed-/Seed-Investor mit Produktfokus; explizite Kategorien AI, Data &amp; Infrastructure, Deep Tech, Cybersecurity, Fintech, Health, Vertical Networks</t>
        </is>
      </c>
      <c r="N30" s="16" t="inlineStr">
        <is>
          <t>Dust (AI-Agenten fuer Unternehmen), Nexcade (AI fuer Logistik), Plain, TrueLayer (Daten-/API-Infrastruktur), Upstream Labs</t>
        </is>
      </c>
      <c r="O30" s="16" t="inlineStr">
        <is>
          <t>Kein direktes Labeling-Investment belegt, aber 'Data &amp; Infrastructure' ist eine der offiziell ausgewiesenen Investmentkategorien</t>
        </is>
      </c>
      <c r="P30" s="16" t="inlineStr">
        <is>
          <t>-</t>
        </is>
      </c>
      <c r="Q30" s="16" t="inlineStr">
        <is>
          <t>Pietro Bezza</t>
        </is>
      </c>
      <c r="R30" s="16" t="inlineStr">
        <is>
          <t>Managing Partner</t>
        </is>
      </c>
      <c r="S30" s="16" t="inlineStr">
        <is>
          <t>n/a</t>
        </is>
      </c>
      <c r="T30" s="16" t="inlineStr">
        <is>
          <t>Kontakt-/Pitchformular auf connectventures.co</t>
        </is>
      </c>
      <c r="U30" s="16" t="inlineStr">
        <is>
          <t>Reiner Pre-Seed-/Seed-Lead mit 'Data &amp; Infrastructure' und AI als offiziell ausgewiesenen Kernkategorien und aktuellem Fonds IV samt frischen AI-Deals 2025/2026.</t>
        </is>
      </c>
      <c r="V30" s="16" t="inlineStr">
        <is>
          <t>Starker Product-Excellence-Filter (bevorzugt produktgetriebene Software statt serviceintensiver Modelle); London-zentriert, DACH ist kein Schwerpunktmarkt</t>
        </is>
      </c>
      <c r="W30" s="16" t="inlineStr">
        <is>
          <t>PathWize als produktgetriebene Annotation-Plattform mit hohem Automatisierungsgrad praesentieren, nicht als Labeling-Dienstleister, und direkt an die 'Data &amp; Infrastructure'-These andocken.</t>
        </is>
      </c>
      <c r="X30" s="18" t="n">
        <v>30</v>
      </c>
      <c r="Y30" s="18" t="n">
        <v>27</v>
      </c>
      <c r="Z30" s="18" t="n">
        <v>15</v>
      </c>
      <c r="AA30" s="18" t="n">
        <v>9</v>
      </c>
      <c r="AB30" s="18" t="n">
        <v>8</v>
      </c>
      <c r="AC30" s="18" t="inlineStr">
        <is>
          <t>Hoch</t>
        </is>
      </c>
      <c r="AD30" s="15" t="inlineStr">
        <is>
          <t>Bestandsliste</t>
        </is>
      </c>
      <c r="AE30" s="16" t="inlineStr">
        <is>
          <t>https://www.connectventures.co/</t>
        </is>
      </c>
      <c r="AF30" s="16" t="inlineStr">
        <is>
          <t>https://www.connectventures.co/, https://www.connectventures.co/opinions/announcing-connect-fund-iv-to-back-products-loved-by-many, https://www.connectventures.co/companies, https://tracxn.com/d/venture-capital/connectventures</t>
        </is>
      </c>
    </row>
    <row r="31">
      <c r="A31" s="12" t="n">
        <v>27</v>
      </c>
      <c r="B31" s="14" t="inlineStr">
        <is>
          <t>D11Z Ventures</t>
        </is>
      </c>
      <c r="C31" s="13" t="inlineStr">
        <is>
          <t>A</t>
        </is>
      </c>
      <c r="D31" s="13" t="n">
        <v>89</v>
      </c>
      <c r="E31" s="15" t="inlineStr">
        <is>
          <t>Heilbronn (weitere Standorte: München, Zürich)</t>
        </is>
      </c>
      <c r="F31" s="15" t="inlineStr">
        <is>
          <t>Deutschland</t>
        </is>
      </c>
      <c r="G31" s="15" t="inlineStr">
        <is>
          <t>Family Office / Evergreen-Fonds (Single Family Office, Umfeld Dieter-Schwarz-/ZFHN-Netzwerk)</t>
        </is>
      </c>
      <c r="H31" s="16" t="inlineStr">
        <is>
          <t>Pre-Seed und Seed, selektiv Series A und Folgerunden ('through scale')</t>
        </is>
      </c>
      <c r="I31" s="15" t="inlineStr">
        <is>
          <t>Teilweise - eher aktiver Co-Investor und Frühphasen-Ankerinvestor als klassischer Lead bei größeren Runden</t>
        </is>
      </c>
      <c r="J31" s="16" t="inlineStr">
        <is>
          <t>Pre-Seed bis ca. 125 Tsd. EUR, Seed bis ca. 750 Tsd. EUR, Series A bis ca. 2 Mio. EUR; Erstinvestments ca. 100 Tsd. bis 1,5 Mio. EUR</t>
        </is>
      </c>
      <c r="K31" s="16" t="inlineStr">
        <is>
          <t>Evergreen-Struktur ohne feste Fondsgröße; über 40 Portfoliounternehmen bzw. rund 100 Investments seit 2005 (konkretes AUM: n/a)</t>
        </is>
      </c>
      <c r="L31" s="18" t="inlineStr">
        <is>
          <t>Ja</t>
        </is>
      </c>
      <c r="M31" s="16" t="inlineStr">
        <is>
          <t>Explizit: AI Infrastructure, B2B SaaS, Physical AI sowie Cybersecurity und Resilienz. Software und Deep Tech, europaweit, langfristiger Evergreen-Horizont.</t>
        </is>
      </c>
      <c r="N31" s="16" t="inlineStr">
        <is>
          <t>StrategyBridgeAI, ConfidentialMinds (Confidential Computing für AI), Otark, doinstruct, Innkeepr; Verticals laut eigener Darstellung KI, SaaS, Robotik, Medical AI, autonomes Fahren</t>
        </is>
      </c>
      <c r="O31" s="16" t="inlineStr">
        <is>
          <t>Hoch: 'AI Infrastructure' ist eine der vier explizit benannten Kernverticals - Trainingsdaten-Infrastruktur fällt direkt darunter. Ein konkretes Labeling-/Annotation-Investment ist nicht belegt.</t>
        </is>
      </c>
      <c r="P31" s="16" t="inlineStr">
        <is>
          <t>-</t>
        </is>
      </c>
      <c r="Q31" s="16" t="inlineStr">
        <is>
          <t>Tom (Thomas) Villinger</t>
        </is>
      </c>
      <c r="R31" s="16" t="inlineStr">
        <is>
          <t>CEO / Managing Partner</t>
        </is>
      </c>
      <c r="S31" s="16" t="inlineStr">
        <is>
          <t>https://www.linkedin.com/in/tom-villinger-d11z/</t>
        </is>
      </c>
      <c r="T31" s="16" t="inlineStr">
        <is>
          <t>Pitch-Formular: https://d11z.com/pitch/</t>
        </is>
      </c>
      <c r="U31" s="16" t="inlineStr">
        <is>
          <t>D11Z nennt 'AI Infrastructure' und B2B SaaS als explizite Kernverticals und investiert genau in Pre-Seed/Seed in Europa - thematisch und phasenseitig einer der passendsten Adressaten der Batch. Die Evergreen-Struktur erlaubt langfristige Begleitung ohne Fondslaufzeit-Druck.</t>
        </is>
      </c>
      <c r="V31" s="16" t="inlineStr">
        <is>
          <t>Kleine Tickets (Seed bis ca. 750 Tsd. EUR) - reicht allein nicht für eine vollständige Seed-Runde, es braucht Co-Investoren. Als Family Office weniger Signalwirkung als ein Marken-VC.</t>
        </is>
      </c>
      <c r="W31" s="16" t="inlineStr">
        <is>
          <t>Direkt über das Pitch-Formular mit der Positionierung 'AI Infrastructure Layer' ansprechen: PathWize liefert die Trainingsdaten-Schicht, die die AI-Infra-These von D11Z komplettiert.</t>
        </is>
      </c>
      <c r="X31" s="18" t="n">
        <v>28</v>
      </c>
      <c r="Y31" s="18" t="n">
        <v>29</v>
      </c>
      <c r="Z31" s="18" t="n">
        <v>14</v>
      </c>
      <c r="AA31" s="18" t="n">
        <v>8</v>
      </c>
      <c r="AB31" s="18" t="n">
        <v>10</v>
      </c>
      <c r="AC31" s="18" t="inlineStr">
        <is>
          <t>Hoch</t>
        </is>
      </c>
      <c r="AD31" s="15" t="inlineStr">
        <is>
          <t>Bestandsliste</t>
        </is>
      </c>
      <c r="AE31" s="16" t="inlineStr">
        <is>
          <t>https://d11z.com/</t>
        </is>
      </c>
      <c r="AF31" s="16" t="inlineStr">
        <is>
          <t>https://d11z.com/, https://d11z.com/pitch/, https://d11z.com/team/, https://tracxn.com/d/venture-capital/d11zventures/__dTNEJJ1g_6zFDXB7iBLABfOtwOeMZea2If5JjvdgJQc, https://www.vc-magazin.de/blog/2024/03/11/interview-tom-villinger-d11z-ventures/, https://altss.com/profile/d11z-ventures-thomas-villinger-family-office</t>
        </is>
      </c>
    </row>
    <row r="32">
      <c r="A32" s="12" t="n">
        <v>28</v>
      </c>
      <c r="B32" s="14" t="inlineStr">
        <is>
          <t>La Famiglia</t>
        </is>
      </c>
      <c r="C32" s="13" t="inlineStr">
        <is>
          <t>A</t>
        </is>
      </c>
      <c r="D32" s="13" t="n">
        <v>89</v>
      </c>
      <c r="E32" s="15" t="inlineStr">
        <is>
          <t>Berlin / München</t>
        </is>
      </c>
      <c r="F32" s="15" t="inlineStr">
        <is>
          <t>Deutschland</t>
        </is>
      </c>
      <c r="G32" s="15" t="inlineStr">
        <is>
          <t>Early-Stage Venture Capital (fusioniert in globale VC-Plattform)</t>
        </is>
      </c>
      <c r="H32" s="16" t="inlineStr">
        <is>
          <t>Pre-Seed und Seed (europäisches Seed-Programm innerhalb von General Catalyst), Folgefinanzierungen bis Growth über GC</t>
        </is>
      </c>
      <c r="I32" s="18" t="inlineStr">
        <is>
          <t>Ja</t>
        </is>
      </c>
      <c r="J32" s="16" t="inlineStr">
        <is>
          <t>n/a (Seed-Tickets typ. 1-5 Mio. EUR, nicht offiziell publiziert)</t>
        </is>
      </c>
      <c r="K32" s="16" t="inlineStr">
        <is>
          <t>General Catalyst verwaltet mehrere Mrd. USD; La Famiglia brachte zwei Fonds ein, seit 2023 unter GC-Dach</t>
        </is>
      </c>
      <c r="L32" s="18" t="inlineStr">
        <is>
          <t>Ja</t>
        </is>
      </c>
      <c r="M32" s="16" t="inlineStr">
        <is>
          <t>Resilientes, wohlhabenderes Europa mit Technologie als Transformationstreiber; Schwerpunkte AI, Klima, industrielle Transformation, Defense und Enterprise Software; starkes Netzwerk in europäische Industrie-Familienunternehmen</t>
        </is>
      </c>
      <c r="N32" s="16" t="inlineStr">
        <is>
          <t>Mistral AI, Helsing, Personio, Deel, Forto, Legora, Applied Intuition, Groq (über GC-Plattform)</t>
        </is>
      </c>
      <c r="O32" s="16" t="inlineStr">
        <is>
          <t>Sehr hoch - Mistral AI und Helsing sind Kernportfolio und beide massive Abnehmer von hochwertigen, europäisch kontrollierten Trainings- und Evaluationsdaten; Jeannette zu Fürstenberg sitzt in beiden Boards</t>
        </is>
      </c>
      <c r="P32" s="16" t="inlineStr">
        <is>
          <t>-</t>
        </is>
      </c>
      <c r="Q32" s="16" t="inlineStr">
        <is>
          <t>Jeannette zu Fürstenberg</t>
        </is>
      </c>
      <c r="R32" s="16" t="inlineStr">
        <is>
          <t>President &amp; Managing Director General Catalyst (Europa), Gründungspartnerin La Famiglia, Board-Mitglied bei Mistral AI und Helsing</t>
        </is>
      </c>
      <c r="S32" s="16" t="inlineStr">
        <is>
          <t>n/a</t>
        </is>
      </c>
      <c r="T32" s="16" t="inlineStr">
        <is>
          <t>https://www.generalcatalyst.com/ (Kontakt über GC-Website; La-Famiglia-Kanäle bestehen teils fort)</t>
        </is>
      </c>
      <c r="U32" s="16" t="inlineStr">
        <is>
          <t>Als Seed-Arm von General Catalyst in Europa investiert das Team explizit in AI und industrielle Transformation und hat mit Mistral AI und Helsing zwei der größten europäischen Trainingsdaten-Abnehmer im Portfolio. Das La-Famiglia-Netzwerk in den deutschen Industriemittelstand ist zudem ein direkter Vertriebskanal für B2B-Labeling.</t>
        </is>
      </c>
      <c r="V32" s="16" t="inlineStr">
        <is>
          <t>La Famiglia existiert seit 2023 nicht mehr als eigenständige Marke - Ansprache muss über General Catalyst laufen; GC ist eine globale Plattform mit sehr hohem Dealflow und entsprechend geringer Antwortquote auf Cold Outreach; Seed-Entscheidungen konkurrieren mit US-Deals</t>
        </is>
      </c>
      <c r="W32" s="16" t="inlineStr">
        <is>
          <t>Über eine warme Einführung aus dem La-Famiglia-Industrienetzwerk an Jeannette zu Fürstenberg herantreten und PathWize als europäische Trainingsdaten-Schicht für Mistral- und Helsing-artige Souveränitäts-AI positionieren.</t>
        </is>
      </c>
      <c r="X32" s="18" t="n">
        <v>27</v>
      </c>
      <c r="Y32" s="18" t="n">
        <v>27</v>
      </c>
      <c r="Z32" s="18" t="n">
        <v>16</v>
      </c>
      <c r="AA32" s="18" t="n">
        <v>9</v>
      </c>
      <c r="AB32" s="18" t="n">
        <v>10</v>
      </c>
      <c r="AC32" s="15" t="inlineStr">
        <is>
          <t>Mittel</t>
        </is>
      </c>
      <c r="AD32" s="15" t="inlineStr">
        <is>
          <t>Bestandsliste</t>
        </is>
      </c>
      <c r="AE32" s="16" t="inlineStr">
        <is>
          <t>https://www.generalcatalyst.com/ (La Famiglia ist seit 2023 Teil von General Catalyst)</t>
        </is>
      </c>
      <c r="AF32" s="16" t="inlineStr">
        <is>
          <t>https://www.generalcatalyst.com/team/jeannette-zu-furstenberg, https://sifted.eu/articles/la-famiglia-general-catalyst, https://techcrunch.com/2023/10/16/general-catalyst-and-european-early-stage-fund-la-famiglia-join-forces-to-invest-in-european-startups/, https://www.generalcatalyst.com/stories/our-growing-family-gc-x-lf</t>
        </is>
      </c>
    </row>
    <row r="33">
      <c r="A33" s="12" t="n">
        <v>29</v>
      </c>
      <c r="B33" s="14" t="inlineStr">
        <is>
          <t>NAP (The Expert Founder Fund)</t>
        </is>
      </c>
      <c r="C33" s="13" t="inlineStr">
        <is>
          <t>A</t>
        </is>
      </c>
      <c r="D33" s="13" t="n">
        <v>89</v>
      </c>
      <c r="E33" s="15" t="inlineStr">
        <is>
          <t>Berlin</t>
        </is>
      </c>
      <c r="F33" s="15" t="inlineStr">
        <is>
          <t>Deutschland</t>
        </is>
      </c>
      <c r="G33" s="18" t="inlineStr">
        <is>
          <t>VC</t>
        </is>
      </c>
      <c r="H33" s="16" t="inlineStr">
        <is>
          <t>Pre-Seed und Seed</t>
        </is>
      </c>
      <c r="I33" s="15" t="inlineStr">
        <is>
          <t>Ja — Initial-Checks von 1-4 Mio. EUR implizieren regelmäßige Lead-Position im Pre-Seed/Seed</t>
        </is>
      </c>
      <c r="J33" s="16" t="inlineStr">
        <is>
          <t>1 - 4 Mio. EUR Erstinvestment</t>
        </is>
      </c>
      <c r="K33" s="16" t="inlineStr">
        <is>
          <t>n/a (Fondsvolumen nicht öffentlich ausgewiesen)</t>
        </is>
      </c>
      <c r="L33" s="18" t="inlineStr">
        <is>
          <t>Ja</t>
        </is>
      </c>
      <c r="M33" s="16" t="inlineStr">
        <is>
          <t>Backt 'Expert Founders' mit tiefer technischer Expertise, die harte Enterprise-Probleme an der Schnittstelle von physischen Industrien, digitalen Systemen, Financial Services und Energie lösen; Deutschland/Europa-Fokus</t>
        </is>
      </c>
      <c r="N33" s="16" t="inlineStr">
        <is>
          <t>Aleph Alpha (europäische AI-/Intelligenz-Infrastruktur, Foundation Models — direkt relevanter Trainingsdaten-Abnehmer), Usercentrics (Privacy-/Consent-Infrastruktur auf 2,3 Mio. Websites), PlanRadar (Bau-Digitalisierung in 75+ Ländern)</t>
        </is>
      </c>
      <c r="O33" s="16" t="inlineStr">
        <is>
          <t>Hoch — mit Aleph Alpha hat NAP das prominenteste deutsche Foundation-Model-Investment; die These 'Europa soll seine Intelligenz nicht bei fremden Clouds mieten' übersetzt sich direkt auf souveräne europäische Trainingsdaten-Infrastruktur</t>
        </is>
      </c>
      <c r="P33" s="16" t="inlineStr">
        <is>
          <t>Data-Infra-nah</t>
        </is>
      </c>
      <c r="Q33" s="16" t="inlineStr">
        <is>
          <t>Stefan Walter</t>
        </is>
      </c>
      <c r="R33" s="16" t="inlineStr">
        <is>
          <t>Managing Partner (weitere Partner: Claude Ritter, Francesco Sieben; Netzwerk u.a. Dominik Matyka, Marcel Hollerbach, Markus Fuhrmann, Rouven Dresselhaus)</t>
        </is>
      </c>
      <c r="S33" s="16" t="inlineStr">
        <is>
          <t>n/a</t>
        </is>
      </c>
      <c r="T33" s="16" t="inlineStr">
        <is>
          <t>Kontakt über nap.vc (kein öffentliches Pitch-Formular verifiziert); Zugang bevorzugt über Warm Intro aus dem Expert-Founder-Netzwerk</t>
        </is>
      </c>
      <c r="U33" s="16" t="inlineStr">
        <is>
          <t>Exakter Stage-Match (Pre-Seed/Seed, 1-4 Mio. EUR Lead-Tickets) kombiniert mit einer 'technische Gründer lösen harte Enterprise-Probleme'-These und dem Aleph-Alpha-Investment als hartem Beleg für AI-Infrastruktur-Überzeugung. Deutschland/Europa ist explizit der Kernmarkt.</t>
        </is>
      </c>
      <c r="V33" s="16" t="inlineStr">
        <is>
          <t>Fondsvolumen nicht öffentlich; die Sektorbeschreibung nennt physische Industrien, Financial Services und Energie als Anker — horizontale Data-Infrastruktur muss aktiv eingeordnet werden; kein offenes Pitch-Formular auffindbar, Zugang läuft über Netzwerk</t>
        </is>
      </c>
      <c r="W33" s="16" t="inlineStr">
        <is>
          <t>Direkt an der Aleph-Alpha-These andocken: PathWize liefert die souveräne europäische Trainingsdaten-Schicht, ohne die europäische Foundation Models weiterhin von US-Labeling-Anbietern abhängig bleiben.</t>
        </is>
      </c>
      <c r="X33" s="18" t="n">
        <v>30</v>
      </c>
      <c r="Y33" s="18" t="n">
        <v>24</v>
      </c>
      <c r="Z33" s="18" t="n">
        <v>16</v>
      </c>
      <c r="AA33" s="18" t="n">
        <v>9</v>
      </c>
      <c r="AB33" s="18" t="n">
        <v>10</v>
      </c>
      <c r="AC33" s="15" t="inlineStr">
        <is>
          <t>Mittel</t>
        </is>
      </c>
      <c r="AD33" s="15" t="inlineStr">
        <is>
          <t>Bestandsliste</t>
        </is>
      </c>
      <c r="AE33" s="16" t="inlineStr">
        <is>
          <t>https://nap.vc/</t>
        </is>
      </c>
      <c r="AF33" s="16" t="inlineStr">
        <is>
          <t>https://nap.vc/, https://vcwire.tech/2025/04/08/nap-interview-with-managing-partner-stefan-walter/, https://www.crunchbase.com/organization/nap-vc, https://www.vcsheet.com/fund/nap</t>
        </is>
      </c>
    </row>
    <row r="34">
      <c r="A34" s="12" t="n">
        <v>30</v>
      </c>
      <c r="B34" s="14" t="inlineStr">
        <is>
          <t>Senovo</t>
        </is>
      </c>
      <c r="C34" s="13" t="inlineStr">
        <is>
          <t>A</t>
        </is>
      </c>
      <c r="D34" s="13" t="n">
        <v>89</v>
      </c>
      <c r="E34" s="15" t="inlineStr">
        <is>
          <t>Muenchen und Berlin</t>
        </is>
      </c>
      <c r="F34" s="18" t="inlineStr">
        <is>
          <t>DE</t>
        </is>
      </c>
      <c r="G34" s="18" t="inlineStr">
        <is>
          <t>VC</t>
        </is>
      </c>
      <c r="H34" s="16" t="inlineStr">
        <is>
          <t>Late Seed und Series A (nach Product-Market-Fit mit ersten Umsaetzen)</t>
        </is>
      </c>
      <c r="I34" s="15" t="inlineStr">
        <is>
          <t>Ja (typischer Lead in Seed-/Series-A-Runden)</t>
        </is>
      </c>
      <c r="J34" s="16" t="inlineStr">
        <is>
          <t>EUR 1 bis 5 Mio. Erstinvestment</t>
        </is>
      </c>
      <c r="K34" s="16" t="inlineStr">
        <is>
          <t>Fonds IV: First Closing mit EUR 80 Mio. (Maerz 2025); seit 2013 aktiv, 40+ Erstinvestments, 13 Exits, 3 Unicorns</t>
        </is>
      </c>
      <c r="L34" s="18" t="inlineStr">
        <is>
          <t>Ja</t>
        </is>
      </c>
      <c r="M34" s="16" t="inlineStr">
        <is>
          <t>Europaeische B2B-Software: Cybersecurity, Industrial Tech, Open Source, Infrastruktur, SaaS und Deep Tech; erklaerte Praeferenz fuer AI-first-Produkte, die die Digitalisierung mittlerer und grosser Unternehmen ermoeglichen</t>
        </is>
      </c>
      <c r="N34" s="16" t="inlineStr">
        <is>
          <t>Fokus auf B2B-Software mit Infrastruktur- und Open-Source-Anteil (67 Investments gesamt); explizite Priorisierung AI-first-Produkte laut eigener Website</t>
        </is>
      </c>
      <c r="O34" s="16" t="inlineStr">
        <is>
          <t>Hoch: Die Kombination aus Infrastruktur-, Open-Source- und AI-first-These deckt Trainingsdaten-Infrastruktur strukturell ab</t>
        </is>
      </c>
      <c r="P34" s="16" t="inlineStr">
        <is>
          <t>-</t>
        </is>
      </c>
      <c r="Q34" s="16" t="inlineStr">
        <is>
          <t>Dr. Alexander Buchberger</t>
        </is>
      </c>
      <c r="R34" s="16" t="inlineStr">
        <is>
          <t>Partner (weitere Partner: Frederick Mallinckrodt, Markus Grundmann, Mona Gindler)</t>
        </is>
      </c>
      <c r="S34" s="16" t="inlineStr">
        <is>
          <t>n/a (Firmenprofil: https://www.linkedin.com/company/senovovc/)</t>
        </is>
      </c>
      <c r="T34" s="16" t="inlineStr">
        <is>
          <t>alex@senovo.vc, frederick@senovo.vc, markus@senovo.vc, mona@senovo.vc (Senovo bittet ausdruecklich um direkte Pitch-Deck-Zusendung an das Team)</t>
        </is>
      </c>
      <c r="U34" s="16" t="inlineStr">
        <is>
          <t>Reinrassiger europaeischer B2B-Software-Fonds mit erklaertem AI-first- und Infrastruktur-Fokus, frischem Fonds IV (EUR 80 Mio.) und Tickets von EUR 1 bis 5 Mio. - ideal fuer PathWize ab Late Seed / Series A.</t>
        </is>
      </c>
      <c r="V34" s="16" t="inlineStr">
        <is>
          <t>Investiert erst nach Product-Market-Fit mit belegbaren Umsaetzen (Richtwert historisch ab ca. EUR 30k MRR) - fuer eine reine Pre-Seed-Runde zu spaet; kein Pre-Seed</t>
        </is>
      </c>
      <c r="W34" s="16" t="inlineStr">
        <is>
          <t>Mit harten SaaS-Metriken einsteigen (MRR, Net Revenue Retention, Bruttomarge pro Labeling-Projekt) und PathWize als AI-first-Infrastrukturlayer fuer die Enterprise-Digitalisierung positionieren, die Senovo explizit sucht.</t>
        </is>
      </c>
      <c r="X34" s="18" t="n">
        <v>27</v>
      </c>
      <c r="Y34" s="18" t="n">
        <v>28</v>
      </c>
      <c r="Z34" s="18" t="n">
        <v>15</v>
      </c>
      <c r="AA34" s="18" t="n">
        <v>9</v>
      </c>
      <c r="AB34" s="18" t="n">
        <v>10</v>
      </c>
      <c r="AC34" s="18" t="inlineStr">
        <is>
          <t>Hoch</t>
        </is>
      </c>
      <c r="AD34" s="15" t="inlineStr">
        <is>
          <t>NEU – Recherche-Ergaenzung</t>
        </is>
      </c>
      <c r="AE34" s="16" t="inlineStr">
        <is>
          <t>https://senovo.vc/</t>
        </is>
      </c>
      <c r="AF34" s="16" t="inlineStr">
        <is>
          <t>https://senovo.vc/, https://www.crunchbase.com/organization/senovo, https://insights.munich-startup.de/investors/senovo_gmbh, https://www.linkedin.com/company/senovovc/</t>
        </is>
      </c>
    </row>
    <row r="35">
      <c r="A35" s="12" t="n">
        <v>31</v>
      </c>
      <c r="B35" s="14" t="inlineStr">
        <is>
          <t>Serena (Serena Data Ventures II)</t>
        </is>
      </c>
      <c r="C35" s="13" t="inlineStr">
        <is>
          <t>A</t>
        </is>
      </c>
      <c r="D35" s="13" t="n">
        <v>89</v>
      </c>
      <c r="E35" s="18" t="inlineStr">
        <is>
          <t>Paris</t>
        </is>
      </c>
      <c r="F35" s="18" t="inlineStr">
        <is>
          <t>FR</t>
        </is>
      </c>
      <c r="G35" s="15" t="inlineStr">
        <is>
          <t>VC (Multi-Fonds-Plattform mit dediziertem Data/AI-Fonds)</t>
        </is>
      </c>
      <c r="H35" s="16" t="inlineStr">
        <is>
          <t>Serena Data Ventures II: Early Stage / Seed bis Series B; Plattform insgesamt Pre-Seed bis Series A</t>
        </is>
      </c>
      <c r="I35" s="15" t="inlineStr">
        <is>
          <t>Ja - fuehrt Early-Stage-Runden an</t>
        </is>
      </c>
      <c r="J35" s="16" t="inlineStr">
        <is>
          <t>0,5-3,5 Mio. EUR (Serena Data Ventures II); Plattform insgesamt 0,1-15 Mio. EUR Erstinvestment</t>
        </is>
      </c>
      <c r="K35" s="16" t="inlineStr">
        <is>
          <t>100 Mio. EUR (Serena Data Ventures II, 2024); Serena IV 200 Mio. EUR (Applied AI &amp; Energy); ca. 1 Mrd. EUR Gesamtprogramm</t>
        </is>
      </c>
      <c r="L35" s="18" t="inlineStr">
        <is>
          <t>Ja</t>
        </is>
      </c>
      <c r="M35" s="16" t="inlineStr">
        <is>
          <t>Die fundamentalen, 'unsichtbaren' Layer: Architektur des Modern Data Stack fuer AI, bessere Automatisierung von Datenmanagement, -analyse und -governance; dazu Blockchain-Tooling und Quantum. Serena IV zusaetzlich Applied AI.</t>
        </is>
      </c>
      <c r="N35" s="16" t="inlineStr">
        <is>
          <t>Dataiku (Enterprise-AI-Plattform), Mindee (Document-AI), Koyeb (Serverless-Infra), Odaseva (Data Governance), Quandela (Quantum)</t>
        </is>
      </c>
      <c r="O35" s="16" t="inlineStr">
        <is>
          <t>Hoch - dedizierter Data/AI-Fonds mit expliziter Modern-Data-Stack-These; Dataiku-Historie zeigt Verstaendnis fuer ML-Datenpipelines, aber kein reines Labeling-Investment belegt</t>
        </is>
      </c>
      <c r="P35" s="16" t="inlineStr">
        <is>
          <t>-</t>
        </is>
      </c>
      <c r="Q35" s="16" t="inlineStr">
        <is>
          <t>Bertrand Diard</t>
        </is>
      </c>
      <c r="R35" s="16" t="inlineStr">
        <is>
          <t>Investment Partner, Mitgruender von Talend, initiierte Serena Data Ventures 2017</t>
        </is>
      </c>
      <c r="S35" s="16" t="inlineStr">
        <is>
          <t>n/a</t>
        </is>
      </c>
      <c r="T35" s="16" t="inlineStr">
        <is>
          <t>Kontaktformular auf serena.vc; Buero 21 rue Auber, 75009 Paris, +33 1 77 37 30 30</t>
        </is>
      </c>
      <c r="U35" s="16" t="inlineStr">
        <is>
          <t>Einer der wenigen europaeischen Fonds mit einem dedizierten 100-Mio.-EUR-Data/AI-Vehikel und einer expliziten These auf den Datenlayer unterhalb der AI-Anwendungen - genau die Ebene, auf der PathWize sitzt.</t>
        </is>
      </c>
      <c r="V35" s="16" t="inlineStr">
        <is>
          <t>Starker Frankreich-Bias im Portfolio, DACH-Traktion begrenzt; Ticketband beginnt erst bei 0,5 Mio. EUR, reines Pre-Seed eher untypisch fuer SDV II.</t>
        </is>
      </c>
      <c r="W35" s="16" t="inlineStr">
        <is>
          <t>PathWize als den fehlenden Human-in-the-loop-Baustein im Modern Data Stack positionieren, den Serena seit Talend/Dataiku systematisch bespielt.</t>
        </is>
      </c>
      <c r="X35" s="18" t="n">
        <v>26</v>
      </c>
      <c r="Y35" s="18" t="n">
        <v>30</v>
      </c>
      <c r="Z35" s="18" t="n">
        <v>16</v>
      </c>
      <c r="AA35" s="18" t="n">
        <v>9</v>
      </c>
      <c r="AB35" s="18" t="n">
        <v>8</v>
      </c>
      <c r="AC35" s="18" t="inlineStr">
        <is>
          <t>Hoch</t>
        </is>
      </c>
      <c r="AD35" s="15" t="inlineStr">
        <is>
          <t>Bestandsliste</t>
        </is>
      </c>
      <c r="AE35" s="16" t="inlineStr">
        <is>
          <t>https://www.serena.vc/</t>
        </is>
      </c>
      <c r="AF35" s="16" t="inlineStr">
        <is>
          <t>https://www.serena.vc/, https://sifted.eu/articles/french-vc-serena-raises-100m-fund, https://websummit.com/wp-media/2024/10/Serena-launches-Serena-Data-Ventures-II-its-new-100-million-euro-fund-dedicated-to-the-foundations-of-future-technological-revolutions.pdf, https://www.serena.vc/team-profile/bertrand-diard/</t>
        </is>
      </c>
    </row>
    <row r="36">
      <c r="A36" s="12" t="n">
        <v>32</v>
      </c>
      <c r="B36" s="14" t="inlineStr">
        <is>
          <t>BlueYard Capital</t>
        </is>
      </c>
      <c r="C36" s="13" t="inlineStr">
        <is>
          <t>A</t>
        </is>
      </c>
      <c r="D36" s="13" t="n">
        <v>88</v>
      </c>
      <c r="E36" s="15" t="inlineStr">
        <is>
          <t>Berlin (zusaetzlich US-Praesenz)</t>
        </is>
      </c>
      <c r="F36" s="18" t="inlineStr">
        <is>
          <t>DE</t>
        </is>
      </c>
      <c r="G36" s="18" t="inlineStr">
        <is>
          <t>VC</t>
        </is>
      </c>
      <c r="H36" s="16" t="inlineStr">
        <is>
          <t>Pre-Seed, Seed, Series A</t>
        </is>
      </c>
      <c r="I36" s="15" t="inlineStr">
        <is>
          <t>Ja (Lead oder Co-Lead)</t>
        </is>
      </c>
      <c r="J36" s="16" t="inlineStr">
        <is>
          <t>ca. 0,5 - 5 Mio. USD Erstinvestment</t>
        </is>
      </c>
      <c r="K36" s="16" t="inlineStr">
        <is>
          <t>ca. 500 Mio. USD AUM ueber drei Fonds; Debuetfonds 111 Mio. EUR</t>
        </is>
      </c>
      <c r="L36" s="18" t="inlineStr">
        <is>
          <t>Ja</t>
        </is>
      </c>
      <c r="M36" s="16" t="inlineStr">
        <is>
          <t>Deep Tech und Frontier Tech: Computation/AI, Decentralized Compute, Defense, Biologie, Crypto; explizite These 'liberate data' und Dezentralisierung von Maerkten</t>
        </is>
      </c>
      <c r="N36" s="16" t="inlineStr">
        <is>
          <t>Groq (AI-Inferenz-Chips), IonQ, Protocol Labs/Filecoin (dezentrale Datenspeicher-Infrastruktur), Ink &amp; Switch, Foresight Data Machines, ManexAI, Grid</t>
        </is>
      </c>
      <c r="O36" s="16" t="inlineStr">
        <is>
          <t>Kein direktes Labeling-/Annotation-Investment belegt, aber starker AI-Compute- und Daten-Infrastruktur-Schwerpunkt, in den Trainingsdaten-Infrastruktur thematisch passt</t>
        </is>
      </c>
      <c r="P36" s="16" t="inlineStr">
        <is>
          <t>-</t>
        </is>
      </c>
      <c r="Q36" s="16" t="inlineStr">
        <is>
          <t>Ciaran O'Leary</t>
        </is>
      </c>
      <c r="R36" s="16" t="inlineStr">
        <is>
          <t>Co-Founder / General Partner</t>
        </is>
      </c>
      <c r="S36" s="16" t="inlineStr">
        <is>
          <t>n/a</t>
        </is>
      </c>
      <c r="T36" s="16" t="inlineStr">
        <is>
          <t>Kontakt ueber blueyard.com; keine oeffentliche Pitch-Mail ausgewiesen, Zugang typischerweise ueber Warm Intro</t>
        </is>
      </c>
      <c r="U36" s="16" t="inlineStr">
        <is>
          <t>Berliner Pre-Seed/Seed-Lead mit ausgewiesener AI- und Daten-Infrastruktur-These (Groq, Filecoin) und passender Ticketgroesse fuer PathWize' Pre-Seed/Seed.</t>
        </is>
      </c>
      <c r="V36" s="16" t="inlineStr">
        <is>
          <t>Sehr thesengetrieben und frontier-lastig (Crypto, Defense, Quantum); klassische Human-in-the-loop-Service-Modelle koennten als zu wenig 'technologisch radikal' gelten</t>
        </is>
      </c>
      <c r="W36" s="16" t="inlineStr">
        <is>
          <t>PathWize als Infrastrukturschicht positionieren, die Trainingsdaten aus proprietaeren Unternehmensdatenquellen 'befreit' und damit direkt an BlueYards 'liberate data'-These andockt.</t>
        </is>
      </c>
      <c r="X36" s="18" t="n">
        <v>30</v>
      </c>
      <c r="Y36" s="18" t="n">
        <v>24</v>
      </c>
      <c r="Z36" s="18" t="n">
        <v>15</v>
      </c>
      <c r="AA36" s="18" t="n">
        <v>9</v>
      </c>
      <c r="AB36" s="18" t="n">
        <v>10</v>
      </c>
      <c r="AC36" s="15" t="inlineStr">
        <is>
          <t>Mittel</t>
        </is>
      </c>
      <c r="AD36" s="15" t="inlineStr">
        <is>
          <t>Bestandsliste</t>
        </is>
      </c>
      <c r="AE36" s="16" t="inlineStr">
        <is>
          <t>https://blueyard.com/</t>
        </is>
      </c>
      <c r="AF36" s="16" t="inlineStr">
        <is>
          <t>https://blueyard.com/, https://www.crunchbase.com/hub/blueyard-capital-portfolio-companies, https://www.newcomer.co/p/exclusive-blueyard-capital-returns, https://pitchbook.com/profiles/investor/150612-58</t>
        </is>
      </c>
    </row>
    <row r="37">
      <c r="A37" s="12" t="n">
        <v>33</v>
      </c>
      <c r="B37" s="14" t="inlineStr">
        <is>
          <t>Cusp Capital</t>
        </is>
      </c>
      <c r="C37" s="13" t="inlineStr">
        <is>
          <t>A</t>
        </is>
      </c>
      <c r="D37" s="13" t="n">
        <v>88</v>
      </c>
      <c r="E37" s="15" t="inlineStr">
        <is>
          <t>Essen (weitere Standorte: Berlin, München)</t>
        </is>
      </c>
      <c r="F37" s="15" t="inlineStr">
        <is>
          <t>Deutschland</t>
        </is>
      </c>
      <c r="G37" s="18" t="inlineStr">
        <is>
          <t>VC</t>
        </is>
      </c>
      <c r="H37" s="16" t="inlineStr">
        <is>
          <t>Seed und Series A (Early Stage), Follow-ons bis Wachstumsphase</t>
        </is>
      </c>
      <c r="I37" s="15" t="inlineStr">
        <is>
          <t>Ja - führte u.a. die 17 Mio. USD Seed-Runde von Immerok an</t>
        </is>
      </c>
      <c r="J37" s="16" t="inlineStr">
        <is>
          <t>Erstinvestments im einstelligen Millionenbereich, Follow-on-Reserven bis ca. 35 Mio. EUR (offizielle Angabe auf der Website: n/a)</t>
        </is>
      </c>
      <c r="K37" s="16" t="inlineStr">
        <is>
          <t>ca. 361 Mio. EUR verwaltetes Kapital (Drittquelle PitchBook/Superscout)</t>
        </is>
      </c>
      <c r="L37" s="15" t="inlineStr">
        <is>
          <t>Teilweise</t>
        </is>
      </c>
      <c r="M37" s="16" t="inlineStr">
        <is>
          <t>Vier Kernthesen: branchenspezifische Software für den Mittelstand, Digitalisierung und ESG, digitale Produkte für einkommensschwächere Konsumenten sowie 'europäische Innovationen prägen die digitale Infrastruktur der Zukunft'. Software und Technologie, keine Hardware, Fokus Kontinentaleuropa.</t>
        </is>
      </c>
      <c r="N37" s="16" t="inlineStr">
        <is>
          <t>Immerok (Apache-Flink-Streaming-Plattform, Data-Infrastruktur, Lead-Investor, Exit an Confluent), Akeno (KI-basierte Produktionsplanung), OneWare (KI-Modell-Konfiguration), 2501, Fixably, Acto</t>
        </is>
      </c>
      <c r="O37" s="16" t="inlineStr">
        <is>
          <t>Hoch im weiteren Sinne: Immerok als Data-Infrastruktur-Lead-Investment belegt Verständnis für Daten-Pipelines und Open-Source-Datenstacks; direkte Labeling-/Annotation-Investments sind nicht belegt.</t>
        </is>
      </c>
      <c r="P37" s="16" t="inlineStr">
        <is>
          <t>Data-Infra-nah</t>
        </is>
      </c>
      <c r="Q37" s="16" t="inlineStr">
        <is>
          <t>Jan Sessenhausen</t>
        </is>
      </c>
      <c r="R37" s="16" t="inlineStr">
        <is>
          <t>General Partner, Fokus Enterprise Software, Daten-Technologien, Cloud und Open Source</t>
        </is>
      </c>
      <c r="S37" s="16" t="inlineStr">
        <is>
          <t>n/a</t>
        </is>
      </c>
      <c r="T37" s="16" t="inlineStr">
        <is>
          <t>Kontaktformular 'Get in touch' auf https://www.cuspcapital.com/ ; direkte E-Mail-Adresse nicht öffentlich</t>
        </is>
      </c>
      <c r="U37" s="16" t="inlineStr">
        <is>
          <t>Cusp Capital investiert genau in der Zielphase (Seed/Series A) in europäische Enterprise-Software und hat mit dem Lead-Investment in Immerok (Apache Flink) einen belegten Track Record in Data-Infrastruktur. Jan Sessenhausen deckt Enterprise Software, Daten-Technologien und Open Source als Kernkompetenz ab.</t>
        </is>
      </c>
      <c r="V37" s="16" t="inlineStr">
        <is>
          <t>Keine explizite AI-first-These; ESG- und Mittelstands-Software-Thesen dominieren die öffentliche Kommunikation. Ticketgrößen für Pre-Seed vermutlich zu groß.</t>
        </is>
      </c>
      <c r="W37" s="16" t="inlineStr">
        <is>
          <t>PathWize als deutsche Antwort auf die europäische Datensouveränitäts-These positionieren - Trainingsdaten-Infrastruktur made in Europe, direkt anschlussfähig an das Immerok-Investment und Sessenhausens Data-/Open-Source-Fokus.</t>
        </is>
      </c>
      <c r="X37" s="18" t="n">
        <v>27</v>
      </c>
      <c r="Y37" s="18" t="n">
        <v>26</v>
      </c>
      <c r="Z37" s="18" t="n">
        <v>17</v>
      </c>
      <c r="AA37" s="18" t="n">
        <v>8</v>
      </c>
      <c r="AB37" s="18" t="n">
        <v>10</v>
      </c>
      <c r="AC37" s="15" t="inlineStr">
        <is>
          <t>Mittel</t>
        </is>
      </c>
      <c r="AD37" s="15" t="inlineStr">
        <is>
          <t>Bestandsliste</t>
        </is>
      </c>
      <c r="AE37" s="16" t="inlineStr">
        <is>
          <t>https://www.cuspcapital.com/</t>
        </is>
      </c>
      <c r="AF37" s="16" t="inlineStr">
        <is>
          <t>https://www.cuspcapital.com/, https://superscout.co/investor/cusp-capital, https://www.crunchbase.com/organization/cusp-capital, https://martechseries.com/analytics/apache-flink-startup-immerok-announces-17m-in-seed-funding/, https://www.openvc.app/fund/Cusp%20Capital</t>
        </is>
      </c>
    </row>
    <row r="38">
      <c r="A38" s="12" t="n">
        <v>34</v>
      </c>
      <c r="B38" s="14" t="inlineStr">
        <is>
          <t>Index Ventures</t>
        </is>
      </c>
      <c r="C38" s="13" t="inlineStr">
        <is>
          <t>A</t>
        </is>
      </c>
      <c r="D38" s="13" t="n">
        <v>88</v>
      </c>
      <c r="E38" s="15" t="inlineStr">
        <is>
          <t>London (weitere Büros: San Francisco, New York)</t>
        </is>
      </c>
      <c r="F38" s="15" t="inlineStr">
        <is>
          <t>Vereinigtes Königreich</t>
        </is>
      </c>
      <c r="G38" s="15" t="inlineStr">
        <is>
          <t>VC (Multi-Stage, Venture- und Growth-Fonds)</t>
        </is>
      </c>
      <c r="H38" s="16" t="inlineStr">
        <is>
          <t>Seed bis Growth; dedizierte Venture-Fonds für Seed und Series A</t>
        </is>
      </c>
      <c r="I38" s="15" t="inlineStr">
        <is>
          <t>Ja - regelmäßig Lead über alle Phasen</t>
        </is>
      </c>
      <c r="J38" s="16" t="inlineStr">
        <is>
          <t>n/a (Seed ab niedrigem einstelligen Mio.-Bereich bis zu großen Growth-Tickets)</t>
        </is>
      </c>
      <c r="K38" s="16" t="inlineStr">
        <is>
          <t>n/a (Mehrere Milliarden USD über kombinierte Venture- und Growth-Fonds; exakte aktuelle Fondsgröße nicht verifiziert)</t>
        </is>
      </c>
      <c r="L38" s="18" t="inlineStr">
        <is>
          <t>Ja</t>
        </is>
      </c>
      <c r="M38" s="16" t="inlineStr">
        <is>
          <t>Breite Technologiethese mit sehr starkem AI-Schwerpunkt: Foundation Models, AI-Infrastruktur und Inferenz, Developer Tools, Data/Observability, Security, FinTech, Marktplätze.</t>
        </is>
      </c>
      <c r="N38" s="16" t="inlineStr">
        <is>
          <t>Anthropic, Fireworks AI (Inferenz-Infrastruktur), Datadog (Observability/Daten), Wiz, Figma (Website-belegt). Zusätzlich gilt Index als Investor in Scale AI (Data-Labeling-Marktführer) und Cohere sowie in Humanloop und Weaviate - in dieser Recherche nicht über die Website verifiziert.</t>
        </is>
      </c>
      <c r="O38" s="16" t="inlineStr">
        <is>
          <t>Sehr hoch. Index hat mit Scale AI die Kategorie selbst mitfinanziert und versteht das Geschäftsmodell inklusive Marge-, Skalierungs- und Automatisierungslogik von Data Labeling besser als fast jeder europäische Fonds.</t>
        </is>
      </c>
      <c r="P38" s="16" t="inlineStr">
        <is>
          <t>DIREKT: Scale Ai – Wettbewerbskonflikt pruefen</t>
        </is>
      </c>
      <c r="Q38" s="16" t="inlineStr">
        <is>
          <t>Danny Rimer</t>
        </is>
      </c>
      <c r="R38" s="16" t="inlineStr">
        <is>
          <t>Partner (London; Website-belegt als aktiver Partner)</t>
        </is>
      </c>
      <c r="S38" s="16" t="inlineStr">
        <is>
          <t>n/a</t>
        </is>
      </c>
      <c r="T38" s="16" t="inlineStr">
        <is>
          <t>Über Kontaktformular auf https://www.indexventures.com/</t>
        </is>
      </c>
      <c r="U38" s="16" t="inlineStr">
        <is>
          <t>Bester inhaltlicher Fit der gesamten Erweiterungsliste: Index investiert von Seed bis Growth, hat den Data-Labeling-Markt über Scale AI selbst mitgeprägt und besitzt ein umfangreiches AI-Infrastruktur-Portfolio. Londoner Basis mit europaweiter Abdeckung inklusive DACH.</t>
        </is>
      </c>
      <c r="V38" s="16" t="inlineStr">
        <is>
          <t>Sehr hohe Selektivität und starker Wettbewerb um Zugang; ohne warme Einführung schwer erreichbar. Möglicher Interessenkonflikt bzw. Portfolio-Konflikt mit bestehenden Data-/AI-Beteiligungen. Kein DACH-Büro, Schwerpunkt zunehmend USA.</t>
        </is>
      </c>
      <c r="W38" s="16" t="inlineStr">
        <is>
          <t>Warme Einführung über einen Index-Gründer oder ein Portfoliounternehmen suchen. Narrativ: 'Was Scale AI für die USA ist, fehlt Europa unter EU-Datenschutz- und Souveränitätsanforderungen' - PathWize als europäische, DSGVO-konforme Human-in-the-loop-Datenschicht positionieren.</t>
        </is>
      </c>
      <c r="X38" s="18" t="n">
        <v>24</v>
      </c>
      <c r="Y38" s="18" t="n">
        <v>27</v>
      </c>
      <c r="Z38" s="18" t="n">
        <v>19</v>
      </c>
      <c r="AA38" s="18" t="n">
        <v>10</v>
      </c>
      <c r="AB38" s="18" t="n">
        <v>8</v>
      </c>
      <c r="AC38" s="15" t="inlineStr">
        <is>
          <t>Mittel</t>
        </is>
      </c>
      <c r="AD38" s="15" t="inlineStr">
        <is>
          <t>NEU – Recherche-Ergaenzung</t>
        </is>
      </c>
      <c r="AE38" s="16" t="inlineStr">
        <is>
          <t>https://www.indexventures.com/</t>
        </is>
      </c>
      <c r="AF38" s="16" t="inlineStr">
        <is>
          <t>https://www.indexventures.com/</t>
        </is>
      </c>
    </row>
    <row r="39">
      <c r="A39" s="12" t="n">
        <v>35</v>
      </c>
      <c r="B39" s="14" t="inlineStr">
        <is>
          <t>Nauta Capital</t>
        </is>
      </c>
      <c r="C39" s="13" t="inlineStr">
        <is>
          <t>A</t>
        </is>
      </c>
      <c r="D39" s="13" t="n">
        <v>88</v>
      </c>
      <c r="E39" s="15" t="inlineStr">
        <is>
          <t>Barcelona (Büro London)</t>
        </is>
      </c>
      <c r="F39" s="15" t="inlineStr">
        <is>
          <t>Spanien / UK</t>
        </is>
      </c>
      <c r="G39" s="15" t="inlineStr">
        <is>
          <t>Pan-europäisches Early-Stage Venture Capital</t>
        </is>
      </c>
      <c r="H39" s="16" t="inlineStr">
        <is>
          <t>Seed und Series A (Pre-Revenue akzeptiert, Produkt muss operativ sein)</t>
        </is>
      </c>
      <c r="I39" s="18" t="inlineStr">
        <is>
          <t>Ja</t>
        </is>
      </c>
      <c r="J39" s="16" t="inlineStr">
        <is>
          <t>1-5 Mio. EUR durchschnittlich</t>
        </is>
      </c>
      <c r="K39" s="16" t="inlineStr">
        <is>
          <t>über 550 Mio. EUR AUM; 6 Fonds, 207 Investments, 95+ Unternehmen, 2,5 Mrd. EUR Exit-Volumen</t>
        </is>
      </c>
      <c r="L39" s="18" t="inlineStr">
        <is>
          <t>Ja</t>
        </is>
      </c>
      <c r="M39" s="16" t="inlineStr">
        <is>
          <t>Kapitaleffiziente B2B-Software in Europa; explizit genannte Vertikalen: RetailTech, RevenueTech, FinTech, InsurTech, Productivity, HealthTech, Enterprise Software, DevTools &amp; Infra, AI/ML &amp; Data, Security &amp; Privacy, Deep Tech</t>
        </is>
      </c>
      <c r="N39" s="16" t="inlineStr">
        <is>
          <t>Neurolabs (synthetische Trainingsdaten und Visual AI für Retail), YZR (AI-gestützte Datennormalisierung), NumberEight (AI/Privacy), QueryLayer (No-Code-Privacy-Workflows)</t>
        </is>
      </c>
      <c r="O39" s="16" t="inlineStr">
        <is>
          <t>Sehr hoch - 'DevTools &amp; Infra' und 'AI/ML &amp; Data' sind offiziell ausgewiesene Investment-Kategorien, und mit Neurolabs (synthetische Trainingsdaten) sowie YZR (Datennormalisierung) existieren die direktesten Vergleichsinvestments dieser Batch</t>
        </is>
      </c>
      <c r="P39" s="16" t="inlineStr">
        <is>
          <t>DIREKT: Neurolabs – Wettbewerbskonflikt pruefen</t>
        </is>
      </c>
      <c r="Q39" s="16" t="inlineStr">
        <is>
          <t>Carles Ferrer</t>
        </is>
      </c>
      <c r="R39" s="16" t="inlineStr">
        <is>
          <t>General Partner (London); weitere Partner: Jordi Viñas (General Partner, Barcelona), Borja Breña (Partner), Anna Daviau (Partner)</t>
        </is>
      </c>
      <c r="S39" s="16" t="inlineStr">
        <is>
          <t>https://www.linkedin.com/in/borjabrena/ (Borja Breña), https://www.linkedin.com/in/annadaviau/ (Anna Daviau)</t>
        </is>
      </c>
      <c r="T39" s="16" t="inlineStr">
        <is>
          <t>https://landbot.pro/v3/H-1323981-R5EH2XF48C3RH3XZ/index.html (Pitch-Formular), https://www.nautacapital.com/contact</t>
        </is>
      </c>
      <c r="U39" s="16" t="inlineStr">
        <is>
          <t>Nauta führt 'AI/ML &amp; Data' und 'DevTools &amp; Infra' als eigene Investment-Kategorien und hat mit Neurolabs (synthetische Trainingsdaten) und YZR (Datennormalisierung) die thesenmäßig nächstliegenden Portfoliounternehmen dieser Batch. Seed/Series-A-Tickets von 1-5 Mio. EUR passen exakt.</t>
        </is>
      </c>
      <c r="V39" s="16" t="inlineStr">
        <is>
          <t>Kein DACH-Büro und kein deutschsprachiger Partner auf der Team-Seite ausgewiesen - Deal-Sourcing läuft primär über Barcelona und London; starker Fokus auf Kapitaleffizienz, was hohe Personalkosten eines Labeling-Betriebs kritisch machen kann</t>
        </is>
      </c>
      <c r="W39" s="16" t="inlineStr">
        <is>
          <t>Über das Pitch-Formular mit direktem Bezug zu Neurolabs einsteigen: PathWize ergänzt synthetische Daten um verifizierte Human-in-the-Loop-Annotation und passt als kapitaleffizientes B2B-Software-Play in die 'AI/ML &amp; Data'-Kategorie.</t>
        </is>
      </c>
      <c r="X39" s="18" t="n">
        <v>28</v>
      </c>
      <c r="Y39" s="18" t="n">
        <v>28</v>
      </c>
      <c r="Z39" s="18" t="n">
        <v>17</v>
      </c>
      <c r="AA39" s="18" t="n">
        <v>8</v>
      </c>
      <c r="AB39" s="18" t="n">
        <v>7</v>
      </c>
      <c r="AC39" s="18" t="inlineStr">
        <is>
          <t>Hoch</t>
        </is>
      </c>
      <c r="AD39" s="15" t="inlineStr">
        <is>
          <t>NEU – Recherche-Ergaenzung</t>
        </is>
      </c>
      <c r="AE39" s="16" t="inlineStr">
        <is>
          <t>https://www.nautacapital.com/</t>
        </is>
      </c>
      <c r="AF39" s="16" t="inlineStr">
        <is>
          <t>https://www.nautacapital.com/, https://www.nautacapital.com/team/, https://vcmatch.ai/investors/nauta-capital, https://www.crunchbase.com/organization/nauta-capital</t>
        </is>
      </c>
    </row>
    <row r="40">
      <c r="A40" s="12" t="n">
        <v>36</v>
      </c>
      <c r="B40" s="14" t="inlineStr">
        <is>
          <t>UVC Partners</t>
        </is>
      </c>
      <c r="C40" s="13" t="inlineStr">
        <is>
          <t>A</t>
        </is>
      </c>
      <c r="D40" s="13" t="n">
        <v>88</v>
      </c>
      <c r="E40" s="15" t="inlineStr">
        <is>
          <t>Muenchen</t>
        </is>
      </c>
      <c r="F40" s="15" t="inlineStr">
        <is>
          <t>Deutschland</t>
        </is>
      </c>
      <c r="G40" s="15" t="inlineStr">
        <is>
          <t>VC (UnternehmerTUM-nahes Oekosystem)</t>
        </is>
      </c>
      <c r="H40" s="16" t="inlineStr">
        <is>
          <t>Seed und Series A, mit neuem Wachstumsvehikel bis Series B</t>
        </is>
      </c>
      <c r="I40" s="18" t="inlineStr">
        <is>
          <t>Ja</t>
        </is>
      </c>
      <c r="J40" s="16" t="inlineStr">
        <is>
          <t>initial bis 10 Mio. EUR, bis 30 Mio. EUR pro Unternehmen ueber alle Runden</t>
        </is>
      </c>
      <c r="K40" s="16" t="inlineStr">
        <is>
          <t>400 Mio. EUR neu (Fund IV mit 250 Mio. EUR Final Close 2024, im Maerz 2026 um 150 Mio. EUR Growth-Kapital erweitert)</t>
        </is>
      </c>
      <c r="L40" s="18" t="inlineStr">
        <is>
          <t>Ja</t>
        </is>
      </c>
      <c r="M40" s="16" t="inlineStr">
        <is>
          <t>Europaeisches B2B DeepTech und Enterprise Software: AI, Industrial Tech, Mobility, ClimateTech, Quantum; enge Anbindung an UnternehmerTUM und die TU Muenchen</t>
        </is>
      </c>
      <c r="N40" s="16" t="inlineStr">
        <is>
          <t>Aleph Alpha (LLM/Foundation Models), Celonis (Process Mining / Datenanalyse), Tacto (B2B-Supply-Chain-Software), planqc, Q.ANT, DeepDrive, Proxima Fusion, Isar Aerospace</t>
        </is>
      </c>
      <c r="O40" s="16" t="inlineStr">
        <is>
          <t>Hoch - mit Aleph Alpha ein direktes Foundation-Model-Investment und mit Celonis ein Daten-Plattform-Exit im Portfolio; UVC versteht sowohl Modell- als auch Datenoekonomie</t>
        </is>
      </c>
      <c r="P40" s="16" t="inlineStr">
        <is>
          <t>-</t>
        </is>
      </c>
      <c r="Q40" s="16" t="inlineStr">
        <is>
          <t>Benjamin Erhart</t>
        </is>
      </c>
      <c r="R40" s="16" t="inlineStr">
        <is>
          <t>General Partner (Software/AI-Schwerpunkt); Managing Partners: Ingo Potthof und Johannes von Borries</t>
        </is>
      </c>
      <c r="S40" s="16" t="inlineStr">
        <is>
          <t>https://de.linkedin.com/in/benjaminerhart</t>
        </is>
      </c>
      <c r="T40" s="16" t="inlineStr">
        <is>
          <t>Kontakt-/Pitchformular auf https://www.uvcpartners.com/</t>
        </is>
      </c>
      <c r="U40" s="16" t="inlineStr">
        <is>
          <t>Muenchner B2B-DeepTech-Lead mit 400 Mio. EUR frischem Kapital, Seed-/Series-A-Fokus und mit Aleph Alpha sowie Celonis genau den Referenzen, die eine Trainingsdaten-Infrastruktur-Story anschlussfaehig machen. Deutscher Sitz und breite Ticketspanne decken Seed bis Series A vollstaendig ab.</t>
        </is>
      </c>
      <c r="V40" s="16" t="inlineStr">
        <is>
          <t>Starker Hardware-/Industrial-DeepTech-Schwerpunkt (Fusion, Quantum, Antriebe); Naehe zum UnternehmerTUM-Oekosystem bevorzugt Muenchner Deals; Verschiebung Richtung Multi-Stage koennte kleine Pre-Seed-Tickets unattraktiv machen</t>
        </is>
      </c>
      <c r="W40" s="16" t="inlineStr">
        <is>
          <t>Ueber Aleph Alpha argumentieren: souveraene deutsche AI-Modelle brauchen souveraene deutsche Trainingsdaten - PathWize als die Datenpipeline dieser Wertschoepfungskette.</t>
        </is>
      </c>
      <c r="X40" s="18" t="n">
        <v>27</v>
      </c>
      <c r="Y40" s="18" t="n">
        <v>25</v>
      </c>
      <c r="Z40" s="18" t="n">
        <v>16</v>
      </c>
      <c r="AA40" s="18" t="n">
        <v>10</v>
      </c>
      <c r="AB40" s="18" t="n">
        <v>10</v>
      </c>
      <c r="AC40" s="18" t="inlineStr">
        <is>
          <t>Hoch</t>
        </is>
      </c>
      <c r="AD40" s="15" t="inlineStr">
        <is>
          <t>Bestandsliste</t>
        </is>
      </c>
      <c r="AE40" s="16" t="inlineStr">
        <is>
          <t>https://www.uvcpartners.com/</t>
        </is>
      </c>
      <c r="AF40" s="16" t="inlineStr">
        <is>
          <t>https://www.uvcpartners.com/, https://www.uvcpartners.com/blog/uvc-partners-expands-new-fund-to-eu400-million-adding-growth-capital, https://www.vestbee.com/insights/articles/uvc-partners-raises-400-m, https://www.munich-startup.de/en/118225/uvc-partners-expands-fund-to-400-million-euros/, https://sifted.eu/articles/uvc-partners-growth-fund</t>
        </is>
      </c>
    </row>
    <row r="41">
      <c r="A41" s="12" t="n">
        <v>37</v>
      </c>
      <c r="B41" s="14" t="inlineStr">
        <is>
          <t>10x Founders</t>
        </is>
      </c>
      <c r="C41" s="13" t="inlineStr">
        <is>
          <t>A</t>
        </is>
      </c>
      <c r="D41" s="13" t="n">
        <v>87</v>
      </c>
      <c r="E41" s="15" t="inlineStr">
        <is>
          <t>München</t>
        </is>
      </c>
      <c r="F41" s="15" t="inlineStr">
        <is>
          <t>Deutschland</t>
        </is>
      </c>
      <c r="G41" s="15" t="inlineStr">
        <is>
          <t>Founder-Collective Venture Capital</t>
        </is>
      </c>
      <c r="H41" s="16" t="inlineStr">
        <is>
          <t>Pre-Seed und Seed in Europa und USA</t>
        </is>
      </c>
      <c r="I41" s="15" t="inlineStr">
        <is>
          <t>Teilweise (agiert häufig als Co-Investor mit starkem Angel-Netzwerk, führt auch Runden an)</t>
        </is>
      </c>
      <c r="J41" s="16" t="inlineStr">
        <is>
          <t>n/a (nicht offiziell publiziert; Pre-Seed/Seed-typisch)</t>
        </is>
      </c>
      <c r="K41" s="16" t="inlineStr">
        <is>
          <t>ca. 160 Mio. EUR (Fondsschließung 2022); 72 Portfoliounternehmen, 7 Neuinvestments in den letzten 12 Monaten</t>
        </is>
      </c>
      <c r="L41" s="18" t="inlineStr">
        <is>
          <t>Ja</t>
        </is>
      </c>
      <c r="M41" s="16" t="inlineStr">
        <is>
          <t>B2B SaaS, FinTech, AI und Climate Tech; netzwerkgetriebener Frühphaseninvestor mit über 300 Unternehmerinnen und Unternehmern als LPs und Sourcing-Netzwerk</t>
        </is>
      </c>
      <c r="N41" s="16" t="inlineStr">
        <is>
          <t>Magic.dev (AI Coding), LastMile AI (AI-Developer-Tooling/Evaluation), Beyond Presence AI, Qeen.ai, igent.ai, Artisan, Qorelo (AI-ERP), Harper</t>
        </is>
      </c>
      <c r="O41" s="16" t="inlineStr">
        <is>
          <t>Hoch - mit Magic.dev und LastMile AI belegte Investments in AI-Developer-Tools und Modell-Evaluation, also unmittelbar benachbarte Schichten zu Trainingsdaten und Annotation</t>
        </is>
      </c>
      <c r="P41" s="16" t="inlineStr">
        <is>
          <t>-</t>
        </is>
      </c>
      <c r="Q41" s="16" t="inlineStr">
        <is>
          <t>n/a</t>
        </is>
      </c>
      <c r="R41" s="16" t="inlineStr">
        <is>
          <t>n/a (sechs Partner, Namen auf der Website nicht einzeln ausgewiesen)</t>
        </is>
      </c>
      <c r="S41" s="16" t="inlineStr">
        <is>
          <t>n/a</t>
        </is>
      </c>
      <c r="T41" s="16" t="inlineStr">
        <is>
          <t>info@10xfounders.com; Brienner Str. 21, 80333 München</t>
        </is>
      </c>
      <c r="U41" s="16" t="inlineStr">
        <is>
          <t>10x Founders investiert ausschließlich in Pre-Seed und Seed, nennt AI und B2B SaaS explizit in der These und hat mit Magic.dev und LastMile AI Investments direkt in der AI-Developer-Tooling-Nachbarschaft von PathWize. Das Netzwerk aus 300+ Unternehmern in München ist zudem ein starker Kundenzugang für B2B-Labeling.</t>
        </is>
      </c>
      <c r="V41" s="16" t="inlineStr">
        <is>
          <t>Fondsgröße von 160 Mio. EUR stammt aus 2022 - Dry Powder und Nachfolgefonds nicht öffentlich bestätigt; agiert oft als Co-Investor und nicht als Lead; Partnerstruktur auf der Website intransparent</t>
        </is>
      </c>
      <c r="W41" s="16" t="inlineStr">
        <is>
          <t>Über info@10xfounders.com mit einem konkreten Bezug zu Magic.dev und LastMile AI anschreiben: PathWize liefert die Human-in-the-Loop-Datenschicht, die AI-Coding- und Evaluation-Tools im Portfolio zur Qualitätssicherung benötigen.</t>
        </is>
      </c>
      <c r="X41" s="18" t="n">
        <v>29</v>
      </c>
      <c r="Y41" s="18" t="n">
        <v>25</v>
      </c>
      <c r="Z41" s="18" t="n">
        <v>15</v>
      </c>
      <c r="AA41" s="18" t="n">
        <v>8</v>
      </c>
      <c r="AB41" s="18" t="n">
        <v>10</v>
      </c>
      <c r="AC41" s="15" t="inlineStr">
        <is>
          <t>Mittel</t>
        </is>
      </c>
      <c r="AD41" s="15" t="inlineStr">
        <is>
          <t>Bestandsliste</t>
        </is>
      </c>
      <c r="AE41" s="16" t="inlineStr">
        <is>
          <t>https://www.10xfounders.com/</t>
        </is>
      </c>
      <c r="AF41" s="16" t="inlineStr">
        <is>
          <t>https://www.10xfounders.com/, https://tracxn.com/d/venture-capital/10x-founders, https://startupintros.com/orgs/10x-founders, https://www.cbinsights.com/investor/10x-founders</t>
        </is>
      </c>
    </row>
    <row r="42">
      <c r="A42" s="12" t="n">
        <v>38</v>
      </c>
      <c r="B42" s="14" t="inlineStr">
        <is>
          <t>Accel (Europa/London)</t>
        </is>
      </c>
      <c r="C42" s="13" t="inlineStr">
        <is>
          <t>A</t>
        </is>
      </c>
      <c r="D42" s="13" t="n">
        <v>87</v>
      </c>
      <c r="E42" s="15" t="inlineStr">
        <is>
          <t>London (europäisches Büro; global Palo Alto, Bangalore)</t>
        </is>
      </c>
      <c r="F42" s="15" t="inlineStr">
        <is>
          <t>Vereinigtes Königreich</t>
        </is>
      </c>
      <c r="G42" s="15" t="inlineStr">
        <is>
          <t>VC (Multi-Stage, globales Franchise mit eigenem Europa-Team)</t>
        </is>
      </c>
      <c r="H42" s="16" t="inlineStr">
        <is>
          <t>Seed und Series A in Europa (Accel hat zusätzlich ein dediziertes Pre-Seed-/Seed-Programm) sowie Growth</t>
        </is>
      </c>
      <c r="I42" s="15" t="inlineStr">
        <is>
          <t>Ja - regelmäßig Lead in Seed und Series A</t>
        </is>
      </c>
      <c r="J42" s="16" t="inlineStr">
        <is>
          <t>n/a</t>
        </is>
      </c>
      <c r="K42" s="16" t="inlineStr">
        <is>
          <t>n/a (eigene aktuelle Europa-/Israel-Fondsgröße auf der Website nicht ausgewiesen)</t>
        </is>
      </c>
      <c r="L42" s="18" t="inlineStr">
        <is>
          <t>Ja</t>
        </is>
      </c>
      <c r="M42" s="16" t="inlineStr">
        <is>
          <t>Breite Software-/Internetthese mit starkem Enterprise- und AI-Schwerpunkt: Infrastruktur, Developer Tools, Security, Data, Vertical SaaS. Positionierung als 'first partner to exceptional teams'.</t>
        </is>
      </c>
      <c r="N42" s="16" t="inlineStr">
        <is>
          <t>Accel gilt als einer der Hauptinvestoren in Scale AI (Data Labeling) sowie in Synthesia (UK, generative Video-AI), Snyk, Sentry und UiPath - in dieser Recherche nicht über die Accel-Website verifiziert (Homepage liefert nur Navigations- und Markeninhalte).</t>
        </is>
      </c>
      <c r="O42" s="16" t="inlineStr">
        <is>
          <t>Sehr hoch. Direkte Kategorie-Erfahrung über Scale AI, dazu breites europäisches AI-Portfolio und Fähigkeit, ein Unternehmen von Seed bis Growth durchzufinanzieren.</t>
        </is>
      </c>
      <c r="P42" s="16" t="inlineStr">
        <is>
          <t>DIREKT: Scale Ai – Wettbewerbskonflikt pruefen</t>
        </is>
      </c>
      <c r="Q42" s="16" t="inlineStr">
        <is>
          <t>Philippe Botteri</t>
        </is>
      </c>
      <c r="R42" s="16" t="inlineStr">
        <is>
          <t>Partner, London (Fokus Enterprise-/Cloud-Software; nicht in dieser Recherche über die Website verifiziert)</t>
        </is>
      </c>
      <c r="S42" s="16" t="inlineStr">
        <is>
          <t>n/a</t>
        </is>
      </c>
      <c r="T42" s="16" t="inlineStr">
        <is>
          <t>Kontaktseite auf https://www.accel.com/</t>
        </is>
      </c>
      <c r="U42" s="16" t="inlineStr">
        <is>
          <t>Accel kombiniert direkte Data-Labeling-Kategorie-Erfahrung (Scale AI) mit einem sehr aktiven europäischen Early-Stage-Team in London, das auch in DACH investiert. Fähig, Seed bis Series A und darüber hinaus zu leiten.</t>
        </is>
      </c>
      <c r="V42" s="16" t="inlineStr">
        <is>
          <t>Website gibt kaum belastbare Fondsdaten preis - Kennzahlen mussten offen bleiben. Sehr hoher Wettbewerb um Aufmerksamkeit; Erstkontakt praktisch nur über Netzwerk. Möglicher Portfoliokonflikt mit bestehenden Data-Investments.</t>
        </is>
      </c>
      <c r="W42" s="16" t="inlineStr">
        <is>
          <t>Über das Londoner Enterprise-Team ansprechen. Aufhänger: europäische Enterprise-Kunden brauchen Labeling-Pipelines, die in der EU verarbeitet werden - Regulatorik (EU AI Act, DSGVO) als struktureller Wettbewerbsvorteil gegenüber US-Anbietern.</t>
        </is>
      </c>
      <c r="X42" s="18" t="n">
        <v>24</v>
      </c>
      <c r="Y42" s="18" t="n">
        <v>26</v>
      </c>
      <c r="Z42" s="18" t="n">
        <v>19</v>
      </c>
      <c r="AA42" s="18" t="n">
        <v>10</v>
      </c>
      <c r="AB42" s="18" t="n">
        <v>8</v>
      </c>
      <c r="AC42" s="15" t="inlineStr">
        <is>
          <t>Niedrig</t>
        </is>
      </c>
      <c r="AD42" s="15" t="inlineStr">
        <is>
          <t>NEU – Recherche-Ergaenzung</t>
        </is>
      </c>
      <c r="AE42" s="16" t="inlineStr">
        <is>
          <t>https://www.accel.com/</t>
        </is>
      </c>
      <c r="AF42" s="16" t="inlineStr">
        <is>
          <t>https://www.accel.com/</t>
        </is>
      </c>
    </row>
    <row r="43">
      <c r="A43" s="12" t="n">
        <v>39</v>
      </c>
      <c r="B43" s="14" t="inlineStr">
        <is>
          <t>Balderton Capital</t>
        </is>
      </c>
      <c r="C43" s="13" t="inlineStr">
        <is>
          <t>A</t>
        </is>
      </c>
      <c r="D43" s="13" t="n">
        <v>87</v>
      </c>
      <c r="E43" s="15" t="inlineStr">
        <is>
          <t>London</t>
        </is>
      </c>
      <c r="F43" s="18" t="inlineStr">
        <is>
          <t>UK</t>
        </is>
      </c>
      <c r="G43" s="18" t="inlineStr">
        <is>
          <t>VC</t>
        </is>
      </c>
      <c r="H43" s="16" t="inlineStr">
        <is>
          <t>Series A als Kern, zunehmend Seed; separater Growth-Fonds bis IPO</t>
        </is>
      </c>
      <c r="I43" s="15" t="inlineStr">
        <is>
          <t>Ja - typischer Lead-Investor in Series A</t>
        </is>
      </c>
      <c r="J43" s="16" t="inlineStr">
        <is>
          <t>n/a (Series-A-Leadtickets typisch 5-20 Mio. USD)</t>
        </is>
      </c>
      <c r="K43" s="16" t="inlineStr">
        <is>
          <t>Early Stage Fund IX 615 Mio. USD + Growth Fund II 685 Mio. USD (zusammen 1,3 Mrd. USD); ueber 4 Mrd. USD in neun Fonds</t>
        </is>
      </c>
      <c r="L43" s="18" t="inlineStr">
        <is>
          <t>Ja</t>
        </is>
      </c>
      <c r="M43" s="16" t="inlineStr">
        <is>
          <t>Ausschliesslich europaeisch gegruendete Tech-Companies; AI, Fintech, B2B SaaS, Digital Health, Mobility, Gaming, Marketplaces; Managing Partner argumentiert explizit fuer europaeische Technologie-Souveraenitaet</t>
        </is>
      </c>
      <c r="N43" s="16" t="inlineStr">
        <is>
          <t>Kili Technology (Data-Annotation-Plattform, 25 Mio. USD Series A von Balderton gefuehrt), deepset (NLP/LLM-Infrastruktur, Berlin), Revolut, Depop; eigener Thought-Leadership-Artikel 'On building the next data infrastructure for Enterprise AI'</t>
        </is>
      </c>
      <c r="O43" s="16" t="inlineStr">
        <is>
          <t>Sehr hoch - Balderton hat die Series A des franzoesischen Labeling-Anbieters Kili Technology angefuehrt und publiziert aktiv zu Enterprise-AI-Datenschichten</t>
        </is>
      </c>
      <c r="P43" s="16" t="inlineStr">
        <is>
          <t>DIREKT: Kili – Wettbewerbskonflikt pruefen</t>
        </is>
      </c>
      <c r="Q43" s="16" t="inlineStr">
        <is>
          <t>Bernard Liautaud</t>
        </is>
      </c>
      <c r="R43" s="16" t="inlineStr">
        <is>
          <t>Managing Partner (Gruender von Business Objects, fuehrte die Kili-Technology-Runde)</t>
        </is>
      </c>
      <c r="S43" s="16" t="inlineStr">
        <is>
          <t>n/a (Profilseite: https://www.balderton.com/team/bernard-liautaud/)</t>
        </is>
      </c>
      <c r="T43" s="16" t="inlineStr">
        <is>
          <t>Kontaktformular auf balderton.com; kein oeffentliches Pitch-Postfach belegbar</t>
        </is>
      </c>
      <c r="U43" s="16" t="inlineStr">
        <is>
          <t>Der einzige Fonds der Batch mit einem gefuehrten Investment in einen reinen Data-Annotation-Anbieter (Kili) plus deepset in Berlin - Balderton kennt Markt, Unit Economics und Wettbewerbsdynamik von Labeling-Plattformen genau.</t>
        </is>
      </c>
      <c r="V43" s="16" t="inlineStr">
        <is>
          <t>Kein Pre-Seed, Seed nur selektiv - fuer eine Pre-Seed-Runde zu frueh; Kili im Portfolio kann als Konflikt gewertet werden; UK-zentriert, DACH nur opportunistisch</t>
        </is>
      </c>
      <c r="W43" s="16" t="inlineStr">
        <is>
          <t>Direkt an Bernard Liautaud mit der Kili-Analogie: PathWize adressiert dasselbe Problem, aber mit deutscher Datenhoheit und Human-in-the-loop-Qualitaet fuer regulierte europaeische Enterprises.</t>
        </is>
      </c>
      <c r="X43" s="18" t="n">
        <v>22</v>
      </c>
      <c r="Y43" s="18" t="n">
        <v>26</v>
      </c>
      <c r="Z43" s="18" t="n">
        <v>20</v>
      </c>
      <c r="AA43" s="18" t="n">
        <v>10</v>
      </c>
      <c r="AB43" s="18" t="n">
        <v>9</v>
      </c>
      <c r="AC43" s="18" t="inlineStr">
        <is>
          <t>Hoch</t>
        </is>
      </c>
      <c r="AD43" s="15" t="inlineStr">
        <is>
          <t>Bestandsliste</t>
        </is>
      </c>
      <c r="AE43" s="16" t="inlineStr">
        <is>
          <t>https://www.balderton.com/</t>
        </is>
      </c>
      <c r="AF43" s="16" t="inlineStr">
        <is>
          <t>https://www.balderton.com/, https://www.balderton.com/news/kili-technology-raises-25m-to-speed-up-ai-adoption/, https://www.balderton.com/team/bernard-liautaud/, https://www.vestbee.com/insights/articles/balderton-capital-raises-1-3-b, https://medium.com/balderton/on-building-the-next-data-infrastructure-for-enterprise-ai-fc4909a827e7</t>
        </is>
      </c>
    </row>
    <row r="44">
      <c r="A44" s="12" t="n">
        <v>40</v>
      </c>
      <c r="B44" s="14" t="inlineStr">
        <is>
          <t>HV Capital</t>
        </is>
      </c>
      <c r="C44" s="13" t="inlineStr">
        <is>
          <t>A</t>
        </is>
      </c>
      <c r="D44" s="13" t="n">
        <v>87</v>
      </c>
      <c r="E44" s="15" t="inlineStr">
        <is>
          <t>Muenchen und Berlin</t>
        </is>
      </c>
      <c r="F44" s="15" t="inlineStr">
        <is>
          <t>Deutschland</t>
        </is>
      </c>
      <c r="G44" s="15" t="inlineStr">
        <is>
          <t>VC (Multi-Stage, unabhaengig; ehemals Holtzbrinck Ventures)</t>
        </is>
      </c>
      <c r="H44" s="16" t="inlineStr">
        <is>
          <t>Seed bis Series D (getrennte Venture- und Growth-Tranchen)</t>
        </is>
      </c>
      <c r="I44" s="15" t="inlineStr">
        <is>
          <t>Ja, fuehrt Seed- und Series-A-Runden im DACH-Raum regelmaessig an</t>
        </is>
      </c>
      <c r="J44" s="16" t="inlineStr">
        <is>
          <t>n/a im Detail; Seed-Tickets im niedrigen einstelligen Mio.-Bereich, Growth deutlich hoeher</t>
        </is>
      </c>
      <c r="K44" s="16" t="inlineStr">
        <is>
          <t>Fonds IX ca. 783 Mio. EUR (groesster HV-Fonds, aufgeteilt in Venture und Growth)</t>
        </is>
      </c>
      <c r="L44" s="18" t="inlineStr">
        <is>
          <t>Ja</t>
        </is>
      </c>
      <c r="M44" s="16" t="inlineStr">
        <is>
          <t>Europaeische digitale Technologieunternehmen: B2B-Software/SaaS, AI, Fintech, Consumer/Marktplaetze, Health, Logistik, Climate. AI wird als eigenstaendiges Fokusfeld gefuehrt.</t>
        </is>
      </c>
      <c r="N44" s="16" t="inlineStr">
        <is>
          <t>Fifth Dimension AI (22 Mio. EUR Series A), SPREAD AI (30 Mio. USD Series B, Engineering-Datengraph), DeepL, Isar Aerospace sowie zahlreiche B2B-SaaS-Beteiligungen.</t>
        </is>
      </c>
      <c r="O44" s="16" t="inlineStr">
        <is>
          <t>Hoch: SPREAD AI und DeepL zeigen belegte Erfahrung mit datenintensiven ML-Produkten; ein Labeling-Layer ist die logische Ergaenzung im Portfolio.</t>
        </is>
      </c>
      <c r="P44" s="16" t="inlineStr">
        <is>
          <t>-</t>
        </is>
      </c>
      <c r="Q44" s="16" t="inlineStr">
        <is>
          <t>n/a (9 Partner im Team, kein einzelner AI-Lead eindeutig belegbar)</t>
        </is>
      </c>
      <c r="R44" s="16" t="inlineStr">
        <is>
          <t>n/a</t>
        </is>
      </c>
      <c r="S44" s="16" t="inlineStr">
        <is>
          <t>n/a</t>
        </is>
      </c>
      <c r="T44" s="16" t="inlineStr">
        <is>
          <t>Kontakt-/Pitch-Formular auf hvcapital.com (Website zum Rechercheszeitpunkt zeitweise nicht erreichbar, HTTP 503)</t>
        </is>
      </c>
      <c r="U44" s="16" t="inlineStr">
        <is>
          <t>Groesster unabhaengiger deutscher Multi-Stage-VC mit 783-Mio.-EUR-Fonds, expliziter AI-These und 31 Investments allein 2025 - fuehrt Seed- und Series-A-Runden in Deutschland aktiv an.</t>
        </is>
      </c>
      <c r="V44" s="16" t="inlineStr">
        <is>
          <t>Kein Pre-Seed; sehr hoher Dealflow und entsprechende Selektivitaet; kein eindeutig identifizierbarer AI-/Data-Infra-Partner als Einstiegspunkt.</t>
        </is>
      </c>
      <c r="W44" s="16" t="inlineStr">
        <is>
          <t>Ueber die Portfolio-Bruecke ansetzen: PathWize als Labeling-Partner fuer HV-Beteiligungen wie SPREAD AI und DeepL, die kontinuierlich hochwertige annotierte Domaenendaten benoetigen.</t>
        </is>
      </c>
      <c r="X44" s="18" t="n">
        <v>26</v>
      </c>
      <c r="Y44" s="18" t="n">
        <v>25</v>
      </c>
      <c r="Z44" s="18" t="n">
        <v>16</v>
      </c>
      <c r="AA44" s="18" t="n">
        <v>10</v>
      </c>
      <c r="AB44" s="18" t="n">
        <v>10</v>
      </c>
      <c r="AC44" s="15" t="inlineStr">
        <is>
          <t>Mittel</t>
        </is>
      </c>
      <c r="AD44" s="15" t="inlineStr">
        <is>
          <t>Bestandsliste</t>
        </is>
      </c>
      <c r="AE44" s="16" t="inlineStr">
        <is>
          <t>https://www.hvcapital.com/</t>
        </is>
      </c>
      <c r="AF44" s="16" t="inlineStr">
        <is>
          <t>https://hvcapital.com/approach, https://tracxn.com/d/venture-capital/hv-capital/__NDaLcHioPNBcfml27IoNC4m7_FSHjx4qdDZl5rFrvX8, https://superscout.co/investor/hv-capital, https://www.crunchbase.com/organization/holtzbrinck-ventures</t>
        </is>
      </c>
    </row>
    <row r="45">
      <c r="A45" s="12" t="n">
        <v>41</v>
      </c>
      <c r="B45" s="14" t="inlineStr">
        <is>
          <t>Redalpine</t>
        </is>
      </c>
      <c r="C45" s="13" t="inlineStr">
        <is>
          <t>A</t>
        </is>
      </c>
      <c r="D45" s="13" t="n">
        <v>87</v>
      </c>
      <c r="E45" s="15" t="inlineStr">
        <is>
          <t>Zuerich (+ Berlin, London)</t>
        </is>
      </c>
      <c r="F45" s="15" t="inlineStr">
        <is>
          <t>Schweiz</t>
        </is>
      </c>
      <c r="G45" s="15" t="inlineStr">
        <is>
          <t>VC (Multi-Stage Investment Advisor)</t>
        </is>
      </c>
      <c r="H45" s="16" t="inlineStr">
        <is>
          <t>Seed bis Series A (Summit Fund fuer Later Stage)</t>
        </is>
      </c>
      <c r="I45" s="15" t="inlineStr">
        <is>
          <t>Ja - fuehrt regelmaessig Seed- und Series-A-Runden an</t>
        </is>
      </c>
      <c r="J45" s="16" t="inlineStr">
        <is>
          <t>n/a (nicht oeffentlich; Seed bis Series A typisch 1-10 Mio.)</t>
        </is>
      </c>
      <c r="K45" s="16" t="inlineStr">
        <is>
          <t>RAC VII: 200 Mio. USD (Aug 2024, groesster Fonds bisher); &gt;1 Mrd. USD AUM</t>
        </is>
      </c>
      <c r="L45" s="18" t="inlineStr">
        <is>
          <t>Ja</t>
        </is>
      </c>
      <c r="M45" s="16" t="inlineStr">
        <is>
          <t>'Software trifft Science': technologische Durchbrueche in AI, Biotech/Health, Fintech, Energy; halbes Team mit Wissenschafts-, halbes mit Operator-Hintergrund; pan-europaeischer Ansatz</t>
        </is>
      </c>
      <c r="N45" s="16" t="inlineStr">
        <is>
          <t>Mistral AI (Foundation Models), Lakera (AI Security, Zuerich), nscale (europaeischer AI-Infrastruktur-Hyperscaler), Uncommon, 9fin, N26, Proxima Fusion</t>
        </is>
      </c>
      <c r="O45" s="16" t="inlineStr">
        <is>
          <t>Kein direktes Labeling-Investment, aber ausgepraegtes AI-Stack-Verstaendnis (Foundation Models + AI-Compute-Infra) - Trainingsdaten sind ein logischer Layer im bestehenden Thesenbild</t>
        </is>
      </c>
      <c r="P45" s="16" t="inlineStr">
        <is>
          <t>-</t>
        </is>
      </c>
      <c r="Q45" s="16" t="inlineStr">
        <is>
          <t>Dr. Michael Sidler</t>
        </is>
      </c>
      <c r="R45" s="16" t="inlineStr">
        <is>
          <t>Founding Partner (Zuerich); weitere: Peter Niederhauser (Founding Partner), Sebastian Becker (General Partner, London)</t>
        </is>
      </c>
      <c r="S45" s="16" t="inlineStr">
        <is>
          <t>n/a</t>
        </is>
      </c>
      <c r="T45" s="16" t="inlineStr">
        <is>
          <t>Kontakt-/Community-Formular auf redalpine.com; keine oeffentliche Pitch-E-Mail auffindbar</t>
        </is>
      </c>
      <c r="U45" s="16" t="inlineStr">
        <is>
          <t>Von neun RAC-VII-Investments haben mehr als die Haelfte einen AI-first-Ansatz, der Rest signifikante AI-Integration - mit Mistral, Lakera und nscale ist der Fonds entlang des gesamten AI-Stacks positioniert und investiert von Zuerich, Berlin und London aus aktiv in DACH.</t>
        </is>
      </c>
      <c r="V45" s="16" t="inlineStr">
        <is>
          <t>Breite Streuung ueber Biotech/Fintech/Energy - Data-Labeling konkurriert intern mit vielen Themen; kein oeffentlicher Pitch-Kanal, warme Einfuehrung faktisch noetig</t>
        </is>
      </c>
      <c r="W45" s="16" t="inlineStr">
        <is>
          <t>Ueber das Berliner Buero anschreiben und PathWize als fehlendes Trainingsdaten-Layer zwischen Mistral (Modelle) und nscale (Compute) im europaeischen souveraenen AI-Stack positionieren.</t>
        </is>
      </c>
      <c r="X45" s="18" t="n">
        <v>28</v>
      </c>
      <c r="Y45" s="18" t="n">
        <v>24</v>
      </c>
      <c r="Z45" s="18" t="n">
        <v>15</v>
      </c>
      <c r="AA45" s="18" t="n">
        <v>10</v>
      </c>
      <c r="AB45" s="18" t="n">
        <v>10</v>
      </c>
      <c r="AC45" s="18" t="inlineStr">
        <is>
          <t>Hoch</t>
        </is>
      </c>
      <c r="AD45" s="15" t="inlineStr">
        <is>
          <t>Bestandsliste</t>
        </is>
      </c>
      <c r="AE45" s="16" t="inlineStr">
        <is>
          <t>https://www.redalpine.com/</t>
        </is>
      </c>
      <c r="AF45" s="16" t="inlineStr">
        <is>
          <t>https://www.redalpine.com/, https://www.redalpine.com/about, https://www.redalpine.com/post/introducing-rac-vii-and-our-london-expansion, https://www.globenewswire.com/news-release/2024/08/27/2936144/0/en/redalpine-closes-largest-fund-to-date-200M-RAC-VII-and-announces-new-London-office.html</t>
        </is>
      </c>
    </row>
    <row r="46">
      <c r="A46" s="12" t="n">
        <v>42</v>
      </c>
      <c r="B46" s="14" t="inlineStr">
        <is>
          <t>Angel Invest</t>
        </is>
      </c>
      <c r="C46" s="13" t="inlineStr">
        <is>
          <t>A</t>
        </is>
      </c>
      <c r="D46" s="13" t="n">
        <v>86</v>
      </c>
      <c r="E46" s="15" t="inlineStr">
        <is>
          <t>Berlin</t>
        </is>
      </c>
      <c r="F46" s="18" t="inlineStr">
        <is>
          <t>DE</t>
        </is>
      </c>
      <c r="G46" s="15" t="inlineStr">
        <is>
          <t>Angel-Fonds / Micro-VC</t>
        </is>
      </c>
      <c r="H46" s="16" t="inlineStr">
        <is>
          <t>Angel, Pre-Seed, Seed (First Check)</t>
        </is>
      </c>
      <c r="I46" s="15" t="inlineStr">
        <is>
          <t>Nein - schreibt First Checks als Angel/Co-Investor, fuehrt institutionelle Runden i.d.R. nicht an</t>
        </is>
      </c>
      <c r="J46" s="16" t="inlineStr">
        <is>
          <t>ca. 125.000 EUR Erstinvestment</t>
        </is>
      </c>
      <c r="K46" s="16" t="inlineStr">
        <is>
          <t>Fund III: 40 Mio. EUR (Closing Juni 2026); 240+ Portfoliounternehmen</t>
        </is>
      </c>
      <c r="L46" s="18" t="inlineStr">
        <is>
          <t>Ja</t>
        </is>
      </c>
      <c r="M46" s="16" t="inlineStr">
        <is>
          <t>Generalistisch technologiegetrieben mit klarem Schwerpunkt auf B2B-/Enterprise-Software, SaaS, AI-native Startups; Fokus auf Gruenderqualitaet, sehr hohe Deal-Frequenz</t>
        </is>
      </c>
      <c r="N46" s="16" t="inlineStr">
        <is>
          <t>Rasa (Open-Source Conversational-AI / NLP-Framework), Taktile (Decision-Infrastruktur fuer Daten/Risk), Spacelift (Infrastructure-as-Code / DevOps-Tooling), Peec AI, INXM, Daisytuner, AskVinny; Fund III laut Berichten stark AI-native</t>
        </is>
      </c>
      <c r="O46" s="16" t="inlineStr">
        <is>
          <t>Mittel-hoch: mehrere ML-/Data-Infra-Investments (Rasa, Taktile) und eigenes AI-Angel-Syndikat, aber kein belegtes reines Labeling-/Trainingsdaten-Investment</t>
        </is>
      </c>
      <c r="P46" s="16" t="inlineStr">
        <is>
          <t>-</t>
        </is>
      </c>
      <c r="Q46" s="16" t="inlineStr">
        <is>
          <t>Dr. Jens Lapinski</t>
        </is>
      </c>
      <c r="R46" s="16" t="inlineStr">
        <is>
          <t>Co-Founder, Managing Director &amp; Partner (zuvor Managing Director Techstars Berlin)</t>
        </is>
      </c>
      <c r="S46" s="16" t="inlineStr">
        <is>
          <t>n/a</t>
        </is>
      </c>
      <c r="T46" s="16" t="inlineStr">
        <is>
          <t>https://angelinvest.ventures/contact-us</t>
        </is>
      </c>
      <c r="U46" s="16" t="inlineStr">
        <is>
          <t>Extrem aktiver Berliner Pre-Seed-/Seed-Investor mit frischem 40-Mio.-EUR-Fonds III, dessen aktuelle Deals stark AI-native sind und der mit Rasa und Taktile belegte ML-/Data-Infrastruktur-Erfahrung hat. Perfekte Stage- und Geo-Passung fuer eine deutsche Pre-Seed-/Seed-Runde.</t>
        </is>
      </c>
      <c r="V46" s="16" t="inlineStr">
        <is>
          <t>Kleines Erstticket (~125k EUR) und kein Lead-Investor - PathWize braucht zusaetzlich einen Lead; sehr hohe Deal-Anzahl bedeutet wenig Zeit pro Portfoliounternehmen</t>
        </is>
      </c>
      <c r="W46" s="16" t="inlineStr">
        <is>
          <t>Als First-Check-Investor fuer die Pre-Seed-Runde ansprechen und den Bogen zu Rasa/Taktile schlagen: PathWize liefert die Human-in-the-loop-Trainingsdaten-Schicht, ohne die genau diese ML-Produkte nicht funktionieren.</t>
        </is>
      </c>
      <c r="X46" s="18" t="n">
        <v>25</v>
      </c>
      <c r="Y46" s="18" t="n">
        <v>26</v>
      </c>
      <c r="Z46" s="18" t="n">
        <v>15</v>
      </c>
      <c r="AA46" s="18" t="n">
        <v>10</v>
      </c>
      <c r="AB46" s="18" t="n">
        <v>10</v>
      </c>
      <c r="AC46" s="18" t="inlineStr">
        <is>
          <t>Hoch</t>
        </is>
      </c>
      <c r="AD46" s="15" t="inlineStr">
        <is>
          <t>Bestandsliste</t>
        </is>
      </c>
      <c r="AE46" s="16" t="inlineStr">
        <is>
          <t>https://angelinvest.ventures/</t>
        </is>
      </c>
      <c r="AF46" s="16" t="inlineStr">
        <is>
          <t>https://angelinvest.ventures/, https://angelinvest.ventures/facts, https://www.eu-startups.com/2026/06/berlin-based-angel-invest-close-e40-million-fund-iii-targeting-angel-to-seed-stages/, https://bebeez.eu/2026/06/11/berlin-based-angel-invest-close-e40-million-fund-iii-targeting-angel-to-seed-stages/</t>
        </is>
      </c>
    </row>
    <row r="47">
      <c r="A47" s="12" t="n">
        <v>43</v>
      </c>
      <c r="B47" s="14" t="inlineStr">
        <is>
          <t>eCAPITAL</t>
        </is>
      </c>
      <c r="C47" s="13" t="inlineStr">
        <is>
          <t>A</t>
        </is>
      </c>
      <c r="D47" s="13" t="n">
        <v>86</v>
      </c>
      <c r="E47" s="15" t="inlineStr">
        <is>
          <t>Münster</t>
        </is>
      </c>
      <c r="F47" s="15" t="inlineStr">
        <is>
          <t>Deutschland</t>
        </is>
      </c>
      <c r="G47" s="15" t="inlineStr">
        <is>
          <t>VC (eCAPITAL ENTREPRENEURIAL PARTNERS AG)</t>
        </is>
      </c>
      <c r="H47" s="16" t="inlineStr">
        <is>
          <t>Seed, Series A und Series B (Early bis Growth Stage)</t>
        </is>
      </c>
      <c r="I47" s="15" t="inlineStr">
        <is>
          <t>Ja - agiert regelmäßig als Lead-Investor in Deep-Tech-Runden (u.a. sonnen, Novaled, Jedox, Ferroelectric Memory Company)</t>
        </is>
      </c>
      <c r="J47" s="16" t="inlineStr">
        <is>
          <t>Nicht offiziell ausgewiesen; typischerweise niedriger bis mittlerer einstelliger Millionenbereich mit Follow-on-Reserven (offizielle Angabe: n/a)</t>
        </is>
      </c>
      <c r="K47" s="16" t="inlineStr">
        <is>
          <t>über 400 Mio. EUR AUM; aktive Fonds eCAPITAL IV (2017), eCAPITAL Cybersecurity (2018) und eCAPITAL V (2022); unterstützt vom Europäischen Investitionsfonds</t>
        </is>
      </c>
      <c r="L47" s="15" t="inlineStr">
        <is>
          <t>Teilweise</t>
        </is>
      </c>
      <c r="M47" s="16" t="inlineStr">
        <is>
          <t>Software und Informationstechnologie, Cybersecurity, Industrie 4.0, neue Materialien und Cleantech. Betreibt mit dem Cybersecurity-Fonds den ersten dedizierten Cyber-VC-Fonds Deutschlands und veranstaltet die Konferenz Invest4Cyber.</t>
        </is>
      </c>
      <c r="N47" s="16" t="inlineStr">
        <is>
          <t>Brighter AI (datenschutzkonforme Anonymisierung von Bild- und Videodaten für AI-Training, erfolgreicher Exit), Apheris (föderierte Datenkollaboration für AI/ML über Unternehmensgrenzen hinweg), Jedox (Data Analytics und Planung), VisioLab (Computer-Vision-Checkout), Node.Energy</t>
        </is>
      </c>
      <c r="O47" s="16" t="inlineStr">
        <is>
          <t>Sehr hoch: Brighter AI (Aufbereitung von Bild-/Videodaten für AI-Training) und Apheris (Datenzugang für ML-Training) sind unmittelbar benachbarte Trainingsdaten-Themen - eCAPITAL versteht die Wertschöpfungskette Trainingsdaten nachweislich.</t>
        </is>
      </c>
      <c r="P47" s="16" t="inlineStr">
        <is>
          <t>-</t>
        </is>
      </c>
      <c r="Q47" s="16" t="inlineStr">
        <is>
          <t>Paul-Josef Patt</t>
        </is>
      </c>
      <c r="R47" s="16" t="inlineStr">
        <is>
          <t>CEO / Managing Partner (weitere: Willi Mannheims und Dirk Seewald, Managing Partner)</t>
        </is>
      </c>
      <c r="S47" s="16" t="inlineStr">
        <is>
          <t>n/a</t>
        </is>
      </c>
      <c r="T47" s="16" t="inlineStr">
        <is>
          <t>Kontaktformular: https://ecapital.vc/contact/ ; Unternehmensprofil: https://www.linkedin.com/company/ecapital-entrepreneurial-partners/</t>
        </is>
      </c>
      <c r="U47" s="16" t="inlineStr">
        <is>
          <t>eCAPITAL hat mit Brighter AI und Apheris zwei Investments direkt an der Schnittstelle von Trainingsdaten, Datenschutz und ML - damit den konkretesten Data-Layer-Track-Record der Batch - und investiert in der passenden Seed-/Series-A-Phase mit über 400 Mio. EUR AUM.</t>
        </is>
      </c>
      <c r="V47" s="16" t="inlineStr">
        <is>
          <t>Sektorthese ist breit gestreut (auch neue Materialien und Cleantech); Cybersecurity dominiert die aktuelle Kommunikation. Keine öffentlichen Partner-Direktkontakte.</t>
        </is>
      </c>
      <c r="W47" s="16" t="inlineStr">
        <is>
          <t>Über die Brighter-AI-Analogie einsteigen: PathWize löst die nächste Stufe derselben Kette - nicht nur Anonymisierung, sondern skalierbare Human-in-the-Loop-Annotation für europäische AI-Modelle.</t>
        </is>
      </c>
      <c r="X47" s="18" t="n">
        <v>26</v>
      </c>
      <c r="Y47" s="18" t="n">
        <v>24</v>
      </c>
      <c r="Z47" s="18" t="n">
        <v>18</v>
      </c>
      <c r="AA47" s="18" t="n">
        <v>8</v>
      </c>
      <c r="AB47" s="18" t="n">
        <v>10</v>
      </c>
      <c r="AC47" s="18" t="inlineStr">
        <is>
          <t>Hoch</t>
        </is>
      </c>
      <c r="AD47" s="15" t="inlineStr">
        <is>
          <t>Bestandsliste</t>
        </is>
      </c>
      <c r="AE47" s="16" t="inlineStr">
        <is>
          <t>https://ecapital.vc/</t>
        </is>
      </c>
      <c r="AF47" s="16" t="inlineStr">
        <is>
          <t>https://ecapital.vc/, https://ecapital.vc/news/ecapital-portfolio-company-brighter-ai-acquired-by-leading-international-technology-group/, https://ecapital.vc/news/ecapital-launches-the-first-dedicated-cybersecurity-vc-fund-in-germany/, https://ecapital.vc/news/invest4cyber-2025-ecapital-unites-global-cyber-leaders-in-berlin/, https://www.crunchbase.com/organization/ecapital-entrepreneurial-partners-ag</t>
        </is>
      </c>
    </row>
    <row r="48">
      <c r="A48" s="12" t="n">
        <v>44</v>
      </c>
      <c r="B48" s="14" t="inlineStr">
        <is>
          <t>Amadeus Capital Partners</t>
        </is>
      </c>
      <c r="C48" s="13" t="inlineStr">
        <is>
          <t>A</t>
        </is>
      </c>
      <c r="D48" s="13" t="n">
        <v>85</v>
      </c>
      <c r="E48" s="15" t="inlineStr">
        <is>
          <t>London / Cambridge</t>
        </is>
      </c>
      <c r="F48" s="18" t="inlineStr">
        <is>
          <t>UK</t>
        </is>
      </c>
      <c r="G48" s="15" t="inlineStr">
        <is>
          <t>VC (Early Stage Fund + Deep-Tech-Vehikel)</t>
        </is>
      </c>
      <c r="H48" s="16" t="inlineStr">
        <is>
          <t>Seed und Series A (Early Stage Fund)</t>
        </is>
      </c>
      <c r="I48" s="15" t="inlineStr">
        <is>
          <t>Ja - fuehrte u.a. den V7-Labs-Seed an</t>
        </is>
      </c>
      <c r="J48" s="16" t="inlineStr">
        <is>
          <t>n/a - Seed-Erstickets im ein- bis niedrigen zweistelligen Mio.-Bereich (nicht oeffentlich beziffert)</t>
        </is>
      </c>
      <c r="K48" s="16" t="inlineStr">
        <is>
          <t>110 Mio. GBP (Amadeus V Tech Fund) plus 80 Mio. EUR (Amadeus x APEX Deep Tech Fund)</t>
        </is>
      </c>
      <c r="L48" s="15" t="inlineStr">
        <is>
          <t>Teilweise</t>
        </is>
      </c>
      <c r="M48" s="16" t="inlineStr">
        <is>
          <t>Science- und Engineering-getriebene Deep Tech: AI/ML, Computer Vision, autonome Systeme, Enterprise SaaS, Quantum, Cyber, Advanced Materials</t>
        </is>
      </c>
      <c r="N48" s="16" t="inlineStr">
        <is>
          <t>V7 Labs (Trainingsdaten- und Annotation-Plattform fuer Computer Vision - Seed-Lead), Graphcore (AI-Chips), Riverlane (Quantum), Forescout, Xampla</t>
        </is>
      </c>
      <c r="O48" s="16" t="inlineStr">
        <is>
          <t>Sehr hoch als Referenz - Amadeus fuehrte den 2,2-Mio.-GBP-Seed von V7 Labs an und kennt den Trainingsdaten-Markt aus einer geleiteten Transaktion</t>
        </is>
      </c>
      <c r="P48" s="16" t="inlineStr">
        <is>
          <t>DIREKT: V7 – Wettbewerbskonflikt pruefen</t>
        </is>
      </c>
      <c r="Q48" s="16" t="inlineStr">
        <is>
          <t>Pierre Socha</t>
        </is>
      </c>
      <c r="R48" s="16" t="inlineStr">
        <is>
          <t>Partner, Early Stage Fund - fuehrte das V7-Investment; Schwerpunkt inzwischen Health und Bio. Amelia Armour als weitere Early-Stage-Partnerin, Anne Glover als CEO/Mitgruenderin.</t>
        </is>
      </c>
      <c r="S48" s="16" t="inlineStr">
        <is>
          <t>n/a</t>
        </is>
      </c>
      <c r="T48" s="16" t="inlineStr">
        <is>
          <t>Kontaktformular auf amadeuscapital.com</t>
        </is>
      </c>
      <c r="U48" s="16" t="inlineStr">
        <is>
          <t>Amadeus hat als einziger Fonds dieser Batch einen Trainingsdaten-Seed selbst angefuehrt (V7 Labs) und investiert weiterhin Seed bis Series A in AI/ML-Deep-Tech aus Europa.</t>
        </is>
      </c>
      <c r="V48" s="16" t="inlineStr">
        <is>
          <t>V7 Labs im Portfolio ist ein direkter Wettbewerber; Pierre Socha fokussiert laut Firmenprofil inzwischen Health/Bio, kein dedizierter Data-Infra-Partner; breite Deep-Tech-Streuung inkl. Quantum und Materials; DACH-Traktion gering.</t>
        </is>
      </c>
      <c r="W48" s="16" t="inlineStr">
        <is>
          <t>Mit der V7-Erfahrung als Aufhaenger arbeiten und zeigen, welchen Teil des Trainingsdaten-Marktes PathWize adressiert, den eine reine Computer-Vision-Annotationsplattform nicht abdeckt.</t>
        </is>
      </c>
      <c r="X48" s="18" t="n">
        <v>26</v>
      </c>
      <c r="Y48" s="18" t="n">
        <v>24</v>
      </c>
      <c r="Z48" s="18" t="n">
        <v>19</v>
      </c>
      <c r="AA48" s="18" t="n">
        <v>8</v>
      </c>
      <c r="AB48" s="18" t="n">
        <v>8</v>
      </c>
      <c r="AC48" s="15" t="inlineStr">
        <is>
          <t>Mittel</t>
        </is>
      </c>
      <c r="AD48" s="15" t="inlineStr">
        <is>
          <t>Bestandsliste</t>
        </is>
      </c>
      <c r="AE48" s="16" t="inlineStr">
        <is>
          <t>https://www.amadeuscapital.com/</t>
        </is>
      </c>
      <c r="AF48" s="16" t="inlineStr">
        <is>
          <t>https://www.amadeuscapital.com/v7-labs-raises-3-million-to-empower-ai-teams-with-automated-training-data-workflows/, https://www.amadeuscapital.com/team/pierre-socha/, https://www.uktechnews.info/2020/12/18/v7-labs-secures-2-2-million-seed-investment-led-by-amadeus-capital-partners/</t>
        </is>
      </c>
    </row>
    <row r="49">
      <c r="A49" s="12" t="n">
        <v>45</v>
      </c>
      <c r="B49" s="14" t="inlineStr">
        <is>
          <t>another.vc</t>
        </is>
      </c>
      <c r="C49" s="13" t="inlineStr">
        <is>
          <t>A</t>
        </is>
      </c>
      <c r="D49" s="13" t="n">
        <v>85</v>
      </c>
      <c r="E49" s="15" t="inlineStr">
        <is>
          <t>Muelheim an der Ruhr</t>
        </is>
      </c>
      <c r="F49" s="18" t="inlineStr">
        <is>
          <t>DE</t>
        </is>
      </c>
      <c r="G49" s="18" t="inlineStr">
        <is>
          <t>VC</t>
        </is>
      </c>
      <c r="H49" s="16" t="inlineStr">
        <is>
          <t>Pre-Seed, Seed</t>
        </is>
      </c>
      <c r="I49" s="15" t="inlineStr">
        <is>
          <t>Teilweise - laut Drittquellen Lead bei Deep-Tech-/Industrie-Runden, Website nennt jedoch 100k EUR Erstinvestment</t>
        </is>
      </c>
      <c r="J49" s="16" t="inlineStr">
        <is>
          <t>ca. 100.000 EUR Erstinvestment (Follow-ons moeglich)</t>
        </is>
      </c>
      <c r="K49" s="16" t="inlineStr">
        <is>
          <t>n/a</t>
        </is>
      </c>
      <c r="L49" s="18" t="inlineStr">
        <is>
          <t>Ja</t>
        </is>
      </c>
      <c r="M49" s="16" t="inlineStr">
        <is>
          <t>Drei Kernfelder: AI Applications (branchenspezifische Problemloesung), Bio + Healthcare sowie Frontier Tech; Fokus auf europaeische B2B-/Deep-Tech-Gruenderteams, Gruender vor Produkt</t>
        </is>
      </c>
      <c r="N49" s="16" t="inlineStr">
        <is>
          <t>Apheris (federated Data Networks fuer Drug Discovery - reine Data-Infrastruktur), Comstruct (Data Layer fuer Bau-Beschaffung), Scoreplay (AI-gestuetztes Media-Asset-Management/Tagging fuer Sport), Mimic (Robotik/industrielle Automatisierung)</t>
        </is>
      </c>
      <c r="O49" s="16" t="inlineStr">
        <is>
          <t>Hoch: mit Apheris und Comstruct zwei explizite Data-Infrastruktur-Investments, Scoreplay ist AI-Metadaten-/Tagging-nah - PathWize passt direkt in die These 'AI Applications + Datenschicht'</t>
        </is>
      </c>
      <c r="P49" s="16" t="inlineStr">
        <is>
          <t>Data-Infra-nah</t>
        </is>
      </c>
      <c r="Q49" s="16" t="inlineStr">
        <is>
          <t>Falk Haurenherm</t>
        </is>
      </c>
      <c r="R49" s="16" t="inlineStr">
        <is>
          <t>Co-Founder, Managing Director &amp; Partner (seit 2019, Partner seit 2022); zweiter Managing Director: Malte Scherff</t>
        </is>
      </c>
      <c r="S49" s="16" t="inlineStr">
        <is>
          <t>n/a</t>
        </is>
      </c>
      <c r="T49" s="16" t="inlineStr">
        <is>
          <t>Kontakt ueber Website https://www.another.vc/ (LinkedIn-Profile verlinkt); dedizierte Pitch-E-Mail n/a</t>
        </is>
      </c>
      <c r="U49" s="16" t="inlineStr">
        <is>
          <t>AI Applications ist eine der drei erklaerten Kernthesen und mit Apheris sowie Comstruct sind zwei echte Data-Infrastruktur-Investments belegt. Deutscher Pre-Seed-/Seed-Fonds - Stage, Geo und These passen praktisch vollstaendig.</t>
        </is>
      </c>
      <c r="V49" s="16" t="inlineStr">
        <is>
          <t>Fondsgroesse nicht oeffentlich und kleines Erstticket von ca. 100k EUR; kein oeffentlicher Pitch-Kanal, Zugang laeuft ueber Netzwerk/LinkedIn; Standort Muelheim an der Ruhr abseits der Berliner/Muenchner Deal-Flows</t>
        </is>
      </c>
      <c r="W49" s="16" t="inlineStr">
        <is>
          <t>Ueber die Apheris-Analogie einsteigen: PathWize baut die Human-in-the-loop-Datenschicht, die deren These 'AI Applications brauchen branchenspezifische Daten' operativ ueberhaupt erst einloest.</t>
        </is>
      </c>
      <c r="X49" s="18" t="n">
        <v>26</v>
      </c>
      <c r="Y49" s="18" t="n">
        <v>26</v>
      </c>
      <c r="Z49" s="18" t="n">
        <v>16</v>
      </c>
      <c r="AA49" s="18" t="n">
        <v>7</v>
      </c>
      <c r="AB49" s="18" t="n">
        <v>10</v>
      </c>
      <c r="AC49" s="15" t="inlineStr">
        <is>
          <t>Mittel</t>
        </is>
      </c>
      <c r="AD49" s="15" t="inlineStr">
        <is>
          <t>Bestandsliste</t>
        </is>
      </c>
      <c r="AE49" s="16" t="inlineStr">
        <is>
          <t>https://www.another.vc/</t>
        </is>
      </c>
      <c r="AF49" s="16" t="inlineStr">
        <is>
          <t>https://www.another.vc/, https://www.another.vc/imprint, https://www.crunchbase.com/organization/another-vc, https://www.openvc.app/fund/another.vc</t>
        </is>
      </c>
    </row>
    <row r="50">
      <c r="A50" s="12" t="n">
        <v>46</v>
      </c>
      <c r="B50" s="14" t="inlineStr">
        <is>
          <t>Credo Ventures</t>
        </is>
      </c>
      <c r="C50" s="13" t="inlineStr">
        <is>
          <t>A</t>
        </is>
      </c>
      <c r="D50" s="13" t="n">
        <v>85</v>
      </c>
      <c r="E50" s="18" t="inlineStr">
        <is>
          <t>Prag</t>
        </is>
      </c>
      <c r="F50" s="18" t="inlineStr">
        <is>
          <t>CZ</t>
        </is>
      </c>
      <c r="G50" s="18" t="inlineStr">
        <is>
          <t>VC</t>
        </is>
      </c>
      <c r="H50" s="16" t="inlineStr">
        <is>
          <t>Pre-Seed und Seed - von der Idee bis zum fruehen Product-Market-Fit</t>
        </is>
      </c>
      <c r="I50" s="15" t="inlineStr">
        <is>
          <t>Ja - fuehrt Pre-Seed- und Seed-Runden an (u.a. bei ElevenLabs)</t>
        </is>
      </c>
      <c r="J50" s="16" t="inlineStr">
        <is>
          <t>n/a (Pre-Seed-/Seed-Tickets typisch 0,5-3 Mio. EUR)</t>
        </is>
      </c>
      <c r="K50" s="16" t="inlineStr">
        <is>
          <t>Credo Stage 5: 88 Mio. USD / ueber 74 Mio. EUR - groesster Fonds der Firma (Vorgaenger 75 Mio. EUR, 2022)</t>
        </is>
      </c>
      <c r="L50" s="18" t="inlineStr">
        <is>
          <t>Ja</t>
        </is>
      </c>
      <c r="M50" s="16" t="inlineStr">
        <is>
          <t>IT, Internet, HealthTech, Artificial Intelligence, SaaS und Developer Tools in Mittel- und Osteuropa; starke Dev-Tools- und Infrastruktur-DNA</t>
        </is>
      </c>
      <c r="N50" s="16" t="inlineStr">
        <is>
          <t>ElevenLabs (Pre-Seed/Seed-Investor ab Jan 2023, heute mit 11 Mrd. USD bewertet), UiPath (RPA), Productboard; eigenes Investmentteam-Mitglied fuer Infrastructure/AI/Dev-Tools</t>
        </is>
      </c>
      <c r="O50" s="16" t="inlineStr">
        <is>
          <t>Mittel-Hoch - AI, Infrastruktur und Developer Tools sind explizite Investitionsfelder mit klarem Track Record, aber kein Labeling-Investment belegbar</t>
        </is>
      </c>
      <c r="P50" s="16" t="inlineStr">
        <is>
          <t>-</t>
        </is>
      </c>
      <c r="Q50" s="16" t="inlineStr">
        <is>
          <t>Matej Micek</t>
        </is>
      </c>
      <c r="R50" s="16" t="inlineStr">
        <is>
          <t>Investmentteam / Partner mit Fokus Infrastructure, AI und Developer Tools</t>
        </is>
      </c>
      <c r="S50" s="16" t="inlineStr">
        <is>
          <t>n/a</t>
        </is>
      </c>
      <c r="T50" s="16" t="inlineStr">
        <is>
          <t>Kontakt ueber https://www.credoventures.com/; kein oeffentliches Pitch-Postfach belegbar</t>
        </is>
      </c>
      <c r="U50" s="16" t="inlineStr">
        <is>
          <t>Frischer 88-Mio.-USD-Pre-Seed-Fonds mit expliziter AI-, Infrastruktur- und Dev-Tools-These, einem dedizierten Infra/AI-Investor im Team und dem ElevenLabs-Track-Record als Beleg fuer sehr fruehe AI-Konviktion.</t>
        </is>
      </c>
      <c r="V50" s="16" t="inlineStr">
        <is>
          <t>Klarer CEE-Fokus - Deutschland und DACH sind nicht Kernmarkt, was den Geo-Fit deutlich schwaecht; kleiner Fonds relativ zu westeuropaeischen Peers</t>
        </is>
      </c>
      <c r="W50" s="16" t="inlineStr">
        <is>
          <t>Ueber das CEE-Delivery-Argument einsteigen: PathWize kombiniert deutschen Enterprise-Zugang mit kosteneffizienten mittel-/osteuropaeischen Annotationsteams - Credos Heimatregion.</t>
        </is>
      </c>
      <c r="X50" s="18" t="n">
        <v>29</v>
      </c>
      <c r="Y50" s="18" t="n">
        <v>26</v>
      </c>
      <c r="Z50" s="18" t="n">
        <v>14</v>
      </c>
      <c r="AA50" s="18" t="n">
        <v>10</v>
      </c>
      <c r="AB50" s="18" t="n">
        <v>6</v>
      </c>
      <c r="AC50" s="15" t="inlineStr">
        <is>
          <t>Mittel</t>
        </is>
      </c>
      <c r="AD50" s="15" t="inlineStr">
        <is>
          <t>Bestandsliste</t>
        </is>
      </c>
      <c r="AE50" s="16" t="inlineStr">
        <is>
          <t>https://www.credoventures.com/</t>
        </is>
      </c>
      <c r="AF50" s="16" t="inlineStr">
        <is>
          <t>https://therecursive.com/credo-stage-5-88m-cee-preseed-fund/, https://techfundingnews.com/elevenlabs-uipath-backer-credo-ventures-closes-88m-fund-to-back-cee-pre-seeds/, https://thenextweb.com/news/credo-ventures-88m-fund, https://startupintros.com/orgs/credo-ventures</t>
        </is>
      </c>
    </row>
    <row r="51">
      <c r="A51" s="12" t="n">
        <v>47</v>
      </c>
      <c r="B51" s="14" t="inlineStr">
        <is>
          <t>EQT Ventures</t>
        </is>
      </c>
      <c r="C51" s="13" t="inlineStr">
        <is>
          <t>A</t>
        </is>
      </c>
      <c r="D51" s="13" t="n">
        <v>85</v>
      </c>
      <c r="E51" s="15" t="inlineStr">
        <is>
          <t>Stockholm (Büros u.a. Berlin, London, Paris, Amsterdam, New York)</t>
        </is>
      </c>
      <c r="F51" s="15" t="inlineStr">
        <is>
          <t>Schweden (mit deutschem Standort Berlin)</t>
        </is>
      </c>
      <c r="G51" s="15" t="inlineStr">
        <is>
          <t>VC (Venture-Arm der EQT Group)</t>
        </is>
      </c>
      <c r="H51" s="16" t="inlineStr">
        <is>
          <t>Early Stage als Lead-Investor - Seed, Series A und Series B</t>
        </is>
      </c>
      <c r="I51" s="15" t="inlineStr">
        <is>
          <t>Ja - positioniert sich ausdrücklich als 'early-stage lead investor'</t>
        </is>
      </c>
      <c r="J51" s="16" t="inlineStr">
        <is>
          <t>ca. 2 bis 50 Mio. EUR</t>
        </is>
      </c>
      <c r="K51" s="16" t="inlineStr">
        <is>
          <t>EQT Ventures III mit 1,1 Mrd. EUR (aktiv, aufgelegt 2022); insgesamt rund 2,3 Mrd. EUR über die Ventures-Fonds, über 130 Portfoliounternehmen</t>
        </is>
      </c>
      <c r="L51" s="18" t="inlineStr">
        <is>
          <t>Ja</t>
        </is>
      </c>
      <c r="M51" s="16" t="inlineStr">
        <is>
          <t>'Generation-Defining Companies' mit starkem AI-Schwerpunkt; Sektoren u.a. Software, Deep Tech, Fintech, Climate, Consumer. Eigene KI-Sourcing-Plattform Motherbrain, die über 100 Mio. USD an Investments angebahnt hat.</t>
        </is>
      </c>
      <c r="N51" s="16" t="inlineStr">
        <is>
          <t>Sana Labs (AI Knowledge), Parloa (Conversational AI, Berlin/München), 1X (AI-Robotik), Netlify (Developer-Infrastruktur), Einride; auf Gruppenebene zusätzlich eine dedizierte AI-Infrastructure-Strategie (Rechenzentren, gestartet 2026 mit EdgeConneX)</t>
        </is>
      </c>
      <c r="O51" s="16" t="inlineStr">
        <is>
          <t>Hoch: ausgeprägte AI-These auf Fonds- und Gruppenebene, Developer-Infrastruktur-Investments (Netlify) und deutsche AI-Deals (Parloa). Direkte Labeling-/Annotation-Investments sind nicht belegt.</t>
        </is>
      </c>
      <c r="P51" s="16" t="inlineStr">
        <is>
          <t>Data-Infra-nah</t>
        </is>
      </c>
      <c r="Q51" s="16" t="inlineStr">
        <is>
          <t>Ted Persson</t>
        </is>
      </c>
      <c r="R51" s="16" t="inlineStr">
        <is>
          <t>Partner, EQT Ventures (u.a. verantwortlich für europäische Software-/AI-Deals; weiterer relevanter Investor: Tom Mendoza)</t>
        </is>
      </c>
      <c r="S51" s="16" t="inlineStr">
        <is>
          <t>n/a</t>
        </is>
      </c>
      <c r="T51" s="16" t="inlineStr">
        <is>
          <t>Kontaktformular auf https://eqtgroup.com/private-capital/eqt-ventures ; Berliner Büro als DACH-Zugang; öffentliche Pitch-E-Mail: n/a</t>
        </is>
      </c>
      <c r="U51" s="16" t="inlineStr">
        <is>
          <t>EQT Ventures ist ein europaweit führender Early-Stage-Lead-Investor mit klarer AI-These, 1,1 Mrd. EUR aktivem Fonds und einem Berliner Büro samt deutschen AI-Investments wie Parloa. Der Ticketkorridor ab 2 Mio. EUR passt zu einer ambitionierten Seed- oder Series-A-Runde.</t>
        </is>
      </c>
      <c r="V51" s="16" t="inlineStr">
        <is>
          <t>Untere Ticketgrenze von ca. 2 Mio. EUR macht ein klassisches Pre-Seed unrealistisch; sehr hoher Wettbewerb um Aufmerksamkeit, warme Einführung faktisch notwendig. Fonds III seit 2022 im Deployment, Nachfolgefonds noch nicht angekündigt.</t>
        </is>
      </c>
      <c r="W51" s="16" t="inlineStr">
        <is>
          <t>Über das Berliner Team und die Motherbrain-Datenlogik ansprechen: PathWize liefert die Trainingsdaten-Grundlage, ohne die die AI-Portfoliounternehmen von EQT (Parloa, Sana, 1X) nicht skalieren.</t>
        </is>
      </c>
      <c r="X51" s="18" t="n">
        <v>24</v>
      </c>
      <c r="Y51" s="18" t="n">
        <v>26</v>
      </c>
      <c r="Z51" s="18" t="n">
        <v>16</v>
      </c>
      <c r="AA51" s="18" t="n">
        <v>9</v>
      </c>
      <c r="AB51" s="18" t="n">
        <v>10</v>
      </c>
      <c r="AC51" s="15" t="inlineStr">
        <is>
          <t>Mittel</t>
        </is>
      </c>
      <c r="AD51" s="15" t="inlineStr">
        <is>
          <t>NEU – Recherche-Ergaenzung</t>
        </is>
      </c>
      <c r="AE51" s="16" t="inlineStr">
        <is>
          <t>https://eqtgroup.com/private-capital/eqt-ventures (vormals eqtventures.com)</t>
        </is>
      </c>
      <c r="AF51" s="16" t="inlineStr">
        <is>
          <t>https://eqtgroup.com/private-capital/eqt-ventures, https://stories.eqtventures.com/articles/2025-in-review, https://superscout.co/investor/eqt-ventures, https://eqtgroup.com/news/eqt-introduces-ai-infrastructure-strategy-to-help-build-the-foundation-of-the-ai-economy-2026-04-21, https://tracxn.com/d/venture-capital/eqt-ventures/__aKB8FxFkBMYOqE3lAQKAq5Sz-nztq7a1OS9aL_tI5dY</t>
        </is>
      </c>
    </row>
    <row r="52">
      <c r="A52" s="12" t="n">
        <v>48</v>
      </c>
      <c r="B52" s="14" t="inlineStr">
        <is>
          <t>Kaya VC</t>
        </is>
      </c>
      <c r="C52" s="13" t="inlineStr">
        <is>
          <t>A</t>
        </is>
      </c>
      <c r="D52" s="13" t="n">
        <v>85</v>
      </c>
      <c r="E52" s="18" t="inlineStr">
        <is>
          <t>Prag</t>
        </is>
      </c>
      <c r="F52" s="15" t="inlineStr">
        <is>
          <t>Tschechien</t>
        </is>
      </c>
      <c r="G52" s="18" t="inlineStr">
        <is>
          <t>VC</t>
        </is>
      </c>
      <c r="H52" s="16" t="inlineStr">
        <is>
          <t>Pre-Seed bis Series A (Begleitung bis Growth)</t>
        </is>
      </c>
      <c r="I52" s="15" t="inlineStr">
        <is>
          <t>Ja - fuehrt fruehe Runden an</t>
        </is>
      </c>
      <c r="J52" s="16" t="inlineStr">
        <is>
          <t>1-3 Mio. EUR initial, bis 20 Mio. EUR Follow-on</t>
        </is>
      </c>
      <c r="K52" s="16" t="inlineStr">
        <is>
          <t>Fund V: 70 Mio. EUR (Jun 2025); 40+ Portfoliounternehmen</t>
        </is>
      </c>
      <c r="L52" s="18" t="inlineStr">
        <is>
          <t>Ja</t>
        </is>
      </c>
      <c r="M52" s="16" t="inlineStr">
        <is>
          <t>Global ambitionierte Gruender mit CEE-Bezug; formal generalistisch, faktisch sehr starkes Developer-/AI-Infrastruktur-Buch</t>
        </is>
      </c>
      <c r="N52" s="16" t="inlineStr">
        <is>
          <t>e2b (Cloud-Infrastruktur fuer AI-Agents), Superlinked (Vector-/Embedding-Infrastruktur), TopK (AI-native Search), Better Stack (DevOps/Observability), Upheal, Yoneda Labs, Rohlik</t>
        </is>
      </c>
      <c r="O52" s="16" t="inlineStr">
        <is>
          <t>Kein Labeling-Investment, aber mit Superlinked (Vector-DB/Embeddings) und e2b (Agent-Infra) genau die Nachbarkategorien des Trainingsdaten-Stacks</t>
        </is>
      </c>
      <c r="P52" s="16" t="inlineStr">
        <is>
          <t>-</t>
        </is>
      </c>
      <c r="Q52" s="16" t="inlineStr">
        <is>
          <t>Tomas Obrtac</t>
        </is>
      </c>
      <c r="R52" s="16" t="inlineStr">
        <is>
          <t>General Partner; weitere GPs: Tomas Pacinda, Martin Rajcan, Karel Zheng; Pavel Mucha (Partner)</t>
        </is>
      </c>
      <c r="S52" s="16" t="inlineStr">
        <is>
          <t>n/a</t>
        </is>
      </c>
      <c r="T52" s="16" t="inlineStr">
        <is>
          <t>contact@kaya.vc; zusaetzlich Pitch-Typeform auf kaya.vc</t>
        </is>
      </c>
      <c r="U52" s="16" t="inlineStr">
        <is>
          <t>Trotz generalistischer Aussendarstellung ist das faktische Portfolio (e2b, Superlinked, TopK, Better Stack) ein reines AI-/Dev-Infrastruktur-Buch, und Ticketgroesse von 1-3 Mio. EUR aus einem frischen 70-Mio.-EUR-Fonds passt fuer Seed.</t>
        </is>
      </c>
      <c r="V52" s="16" t="inlineStr">
        <is>
          <t>Klarer CEE-Fokus (Gruender sollten CEE-Bezug haben), Deutschland ist nicht Kernmarkt; kleiner Fonds; keine explizite AI-These auf der Website - der Data-Infra-Fokus ist implizit</t>
        </is>
      </c>
      <c r="W52" s="16" t="inlineStr">
        <is>
          <t>Ueber das Pitch-Typeform mit Superlinked-/e2b-Referenz: PathWize als fehlendes Trainingsdaten-Stueck in Kayas AI-Infrastruktur-Portfolio, mit Betonung eines osteuropaeischen Delivery-/Labeling-Netzwerks.</t>
        </is>
      </c>
      <c r="X52" s="18" t="n">
        <v>29</v>
      </c>
      <c r="Y52" s="18" t="n">
        <v>23</v>
      </c>
      <c r="Z52" s="18" t="n">
        <v>18</v>
      </c>
      <c r="AA52" s="18" t="n">
        <v>9</v>
      </c>
      <c r="AB52" s="18" t="n">
        <v>6</v>
      </c>
      <c r="AC52" s="15" t="inlineStr">
        <is>
          <t>Mittel</t>
        </is>
      </c>
      <c r="AD52" s="15" t="inlineStr">
        <is>
          <t>Bestandsliste</t>
        </is>
      </c>
      <c r="AE52" s="16" t="inlineStr">
        <is>
          <t>https://kaya.vc/</t>
        </is>
      </c>
      <c r="AF52" s="16" t="inlineStr">
        <is>
          <t>https://kaya.vc/</t>
        </is>
      </c>
    </row>
    <row r="53">
      <c r="A53" s="12" t="n">
        <v>49</v>
      </c>
      <c r="B53" s="14" t="inlineStr">
        <is>
          <t>OTB Ventures</t>
        </is>
      </c>
      <c r="C53" s="13" t="inlineStr">
        <is>
          <t>A</t>
        </is>
      </c>
      <c r="D53" s="13" t="n">
        <v>85</v>
      </c>
      <c r="E53" s="15" t="inlineStr">
        <is>
          <t>Amsterdam (Büros: Warschau, Luxemburg)</t>
        </is>
      </c>
      <c r="F53" s="15" t="inlineStr">
        <is>
          <t>Niederlande</t>
        </is>
      </c>
      <c r="G53" s="15" t="inlineStr">
        <is>
          <t>VC (unabhängiger Deep-Tech-Fonds mit Fokus auf europäische Technologie)</t>
        </is>
      </c>
      <c r="H53" s="16" t="inlineStr">
        <is>
          <t>Late Seed und Series A</t>
        </is>
      </c>
      <c r="I53" s="15" t="inlineStr">
        <is>
          <t>Ja (führte u. a. die Series A von Apheris an)</t>
        </is>
      </c>
      <c r="J53" s="16" t="inlineStr">
        <is>
          <t>n/a</t>
        </is>
      </c>
      <c r="K53" s="16" t="inlineStr">
        <is>
          <t>n/a (Website weist keine Fondsgröße aus)</t>
        </is>
      </c>
      <c r="L53" s="18" t="inlineStr">
        <is>
          <t>Ja</t>
        </is>
      </c>
      <c r="M53" s="16" t="inlineStr">
        <is>
          <t>Deep Tech mit drei ausdrücklichen Vertikalen: 'Enterprise AI &amp; Data', 'SpaceTech and Physical AI' sowie 'Novel Computing'. Ziel ist die globale Skalierung europäischer Deep-Tech-Unternehmen.</t>
        </is>
      </c>
      <c r="N53" s="16" t="inlineStr">
        <is>
          <t>Apheris (Berlin - föderierte AI-Infrastruktur, Series A von OTB angeführt), Veridion (Unternehmensdaten/Data-as-a-Service), Silent Eight (AI-Compliance), Semron (Dresden, AI-Chips), SettleMint, ICEYE, Hydrosat, FintechOS - Website-belegt.</t>
        </is>
      </c>
      <c r="O53" s="16" t="inlineStr">
        <is>
          <t>Sehr hoch. 'Enterprise AI &amp; Data' ist eine eigene Investmentvertikale; mit Apheris (Berlin) und Veridion hat OTB bereits direkt in europäische Datenschicht-Infrastruktur investiert - inklusive Datenschutz- und Souveränitätsargumentation.</t>
        </is>
      </c>
      <c r="P53" s="16" t="inlineStr">
        <is>
          <t>-</t>
        </is>
      </c>
      <c r="Q53" s="16" t="inlineStr">
        <is>
          <t>Marcin Hejka</t>
        </is>
      </c>
      <c r="R53" s="16" t="inlineStr">
        <is>
          <t>Co-Founder / General Partner (nicht in dieser Recherche über die Website verifiziert)</t>
        </is>
      </c>
      <c r="S53" s="16" t="inlineStr">
        <is>
          <t>n/a</t>
        </is>
      </c>
      <c r="T53" s="16" t="inlineStr">
        <is>
          <t>contact@otb.vc</t>
        </is>
      </c>
      <c r="U53" s="16" t="inlineStr">
        <is>
          <t>Sehr präziser thematischer Treffer: 'Enterprise AI &amp; Data' als benannte Vertikale, mit Apheris ein Berliner AI-Dateninfrastruktur-Investment als Lead und mit Veridion ein Datenprodukt im Portfolio. Aktiver Deal-Flow (Expansion nach Luxemburg 2025) und Bereitschaft, Runden anzuführen. Deutschland ist über Apheris und Semron nachweislich Zielmarkt.</t>
        </is>
      </c>
      <c r="V53" s="16" t="inlineStr">
        <is>
          <t>Kein Pre-Seed - Einstieg erst ab Late Seed/Series A. Fonds- und Ticketgrößen nicht öffentlich. Schwerpunkt liegt auf technisch tiefen, IP-lastigen Unternehmen; ein human-in-the-loop-Modell muss seine technologische Tiefe (Automatisierung, Active Learning, Qualitätsmodelle) explizit belegen.</t>
        </is>
      </c>
      <c r="W53" s="16" t="inlineStr">
        <is>
          <t>Direkte Mail an contact@otb.vc mit Apheris-Bezug: föderierte AI und europäische Datensouveränität brauchen eine vertrauenswürdige, EU-ansässige Annotationsschicht. PathWize als komplementärer Baustein zur These 'Enterprise AI &amp; Data' positionieren, mit klarem Fokus auf Automatisierungsanteil statt reiner Arbeitsleistung.</t>
        </is>
      </c>
      <c r="X53" s="18" t="n">
        <v>24</v>
      </c>
      <c r="Y53" s="18" t="n">
        <v>27</v>
      </c>
      <c r="Z53" s="18" t="n">
        <v>17</v>
      </c>
      <c r="AA53" s="18" t="n">
        <v>9</v>
      </c>
      <c r="AB53" s="18" t="n">
        <v>8</v>
      </c>
      <c r="AC53" s="18" t="inlineStr">
        <is>
          <t>Hoch</t>
        </is>
      </c>
      <c r="AD53" s="15" t="inlineStr">
        <is>
          <t>NEU – Recherche-Ergaenzung</t>
        </is>
      </c>
      <c r="AE53" s="16" t="inlineStr">
        <is>
          <t>https://otb.vc/</t>
        </is>
      </c>
      <c r="AF53" s="16" t="inlineStr">
        <is>
          <t>https://otb.vc/</t>
        </is>
      </c>
    </row>
    <row r="54">
      <c r="A54" s="12" t="n">
        <v>50</v>
      </c>
      <c r="B54" s="14" t="inlineStr">
        <is>
          <t>Redstone</t>
        </is>
      </c>
      <c r="C54" s="13" t="inlineStr">
        <is>
          <t>A</t>
        </is>
      </c>
      <c r="D54" s="13" t="n">
        <v>85</v>
      </c>
      <c r="E54" s="15" t="inlineStr">
        <is>
          <t>Berlin (zusätzlich Zürich und Helsinki)</t>
        </is>
      </c>
      <c r="F54" s="15" t="inlineStr">
        <is>
          <t>Deutschland</t>
        </is>
      </c>
      <c r="G54" s="15" t="inlineStr">
        <is>
          <t>VC / VC-as-a-Service (Multi-Fonds-Plattform, gegründet 2014)</t>
        </is>
      </c>
      <c r="H54" s="16" t="inlineStr">
        <is>
          <t>Pre-Seed, Seed, Series A — Schwerpunkt Seed in deutschen Startups</t>
        </is>
      </c>
      <c r="I54" s="15" t="inlineStr">
        <is>
          <t>Ja — einer der aktivsten Early-Stage-Leadinvestoren Europas</t>
        </is>
      </c>
      <c r="J54" s="16" t="inlineStr">
        <is>
          <t>n/a (keine offizielle Range publiziert)</t>
        </is>
      </c>
      <c r="K54" s="16" t="inlineStr">
        <is>
          <t>Multi-Fonds-Struktur inkl. eigenem Quantum-Fonds über 52 Mio. EUR; Tracxn weist ca. 7 Mrd. USD AUM aus (inkl. verwalteter VCaaS-Mandate — Zahl mit Vorsicht zu lesen)</t>
        </is>
      </c>
      <c r="L54" s="18" t="inlineStr">
        <is>
          <t>Ja</t>
        </is>
      </c>
      <c r="M54" s="16" t="inlineStr">
        <is>
          <t>Multi-Strategie mit DeepTech als Kernsäule: AI, Photonik, Robotik, Connectivity und Novel Computing; daneben FinTech, Industrial, Energy &amp; Infrastructure, Health, Social Impact, Blue Economy und Venture Debt</t>
        </is>
      </c>
      <c r="N54" s="16" t="inlineStr">
        <is>
          <t>100+ Portfoliounternehmen, darunter Exein (Embedded-Security), Backbone, Tangible, Finanzguru, Empion, CNC24; DeepTech-Säule adressiert AI und Novel Computing explizit; dedizierte Quantum-Investments (u.a. betreut von Chiara Decaroli, PhD)</t>
        </is>
      </c>
      <c r="O54" s="16" t="inlineStr">
        <is>
          <t>Hoch — AI ist als DeepTech-Teilthese benannt, und Founding Partner Michael Brehm hat selbst mit i2x ein Berliner AI-Startup gegründet, versteht also Trainingsdaten-Ökonomie aus Operatorperspektive</t>
        </is>
      </c>
      <c r="P54" s="16" t="inlineStr">
        <is>
          <t>-</t>
        </is>
      </c>
      <c r="Q54" s="16" t="inlineStr">
        <is>
          <t>Michael Brehm</t>
        </is>
      </c>
      <c r="R54" s="16" t="inlineStr">
        <is>
          <t>Founding Partner (parallel Gründer &amp; Geschäftsführer des Berliner AI-Startups i2x seit 2017) — inhaltlich nächster Ansprechpartner für AI-Themen</t>
        </is>
      </c>
      <c r="S54" s="16" t="inlineStr">
        <is>
          <t>https://www.linkedin.com/in/michaelbrehm</t>
        </is>
      </c>
      <c r="T54" s="16" t="inlineStr">
        <is>
          <t>Online-Pitch-Formular auf redstone.vc (Pitch Deck mit Geschäftsmodell und Marktchance); Warm Intro bevorzugt, aber nicht zwingend</t>
        </is>
      </c>
      <c r="U54" s="16" t="inlineStr">
        <is>
          <t>Redstone ist ein sehr aktiver deutscher Seed-Leadinvestor (19 Neuinvestments in den letzten 12 Monaten) mit AI als benannter DeepTech-Teilthese und einem Founding Partner, der selbst ein AI-Startup führt. Offenes Pitch-Formular senkt die Zugangshürde deutlich.</t>
        </is>
      </c>
      <c r="V54" s="16" t="inlineStr">
        <is>
          <t>Sehr breite Multi-Strategie über acht Sektoren plus Venture Debt — AI konkurriert intern mit Quantum, FinTech, Health und Blue Economy; VC-as-a-Service-Modell bedeutet, dass Investments an LP-/Corporate-Mandate gebunden sein können; keine publizierte Ticket-Range; kein belegtes Data-Labeling- oder MLOps-Investment</t>
        </is>
      </c>
      <c r="W54" s="16" t="inlineStr">
        <is>
          <t>Über das Pitch-Formular einsteigen und Michael Brehm parallel als Operator-zu-Operator ansprechen: als i2x-Gründer kennt er die Kosten schlechter Trainingsdaten aus erster Hand.</t>
        </is>
      </c>
      <c r="X54" s="18" t="n">
        <v>28</v>
      </c>
      <c r="Y54" s="18" t="n">
        <v>24</v>
      </c>
      <c r="Z54" s="18" t="n">
        <v>13</v>
      </c>
      <c r="AA54" s="18" t="n">
        <v>10</v>
      </c>
      <c r="AB54" s="18" t="n">
        <v>10</v>
      </c>
      <c r="AC54" s="15" t="inlineStr">
        <is>
          <t>Mittel</t>
        </is>
      </c>
      <c r="AD54" s="15" t="inlineStr">
        <is>
          <t>Bestandsliste</t>
        </is>
      </c>
      <c r="AE54" s="16" t="inlineStr">
        <is>
          <t>https://www.redstone.vc/</t>
        </is>
      </c>
      <c r="AF54" s="16" t="inlineStr">
        <is>
          <t>https://www.redstone.vc/, https://redstone.vc/our-people, https://tracxn.com/d/venture-capital/redstone/__Op9t5bAwtKgmAwv3r5er2gV6yW6KmN0yPEGv2WbFRjA, https://superscout.co/investor/redstone</t>
        </is>
      </c>
    </row>
    <row r="55">
      <c r="A55" s="12" t="n">
        <v>51</v>
      </c>
      <c r="B55" s="14" t="inlineStr">
        <is>
          <t>Target Partners</t>
        </is>
      </c>
      <c r="C55" s="13" t="inlineStr">
        <is>
          <t>A</t>
        </is>
      </c>
      <c r="D55" s="13" t="n">
        <v>85</v>
      </c>
      <c r="E55" s="15" t="inlineStr">
        <is>
          <t>Muenchen</t>
        </is>
      </c>
      <c r="F55" s="18" t="inlineStr">
        <is>
          <t>DE</t>
        </is>
      </c>
      <c r="G55" s="18" t="inlineStr">
        <is>
          <t>VC</t>
        </is>
      </c>
      <c r="H55" s="16" t="inlineStr">
        <is>
          <t>Early Stage (Seed und Series A); Eigenpositionierung 'Always early stage. In it for the long run.'</t>
        </is>
      </c>
      <c r="I55" s="15" t="inlineStr">
        <is>
          <t>Ja (klassischer Lead-Investor in fruehen Runden)</t>
        </is>
      </c>
      <c r="J55" s="16" t="inlineStr">
        <is>
          <t>n/a (nicht oeffentlich beziffert)</t>
        </is>
      </c>
      <c r="K55" s="16" t="inlineStr">
        <is>
          <t>ca. EUR 300 Mio. under management; ueber 100 Investments und 21 Exits seit Gruendung 1999</t>
        </is>
      </c>
      <c r="L55" s="18" t="inlineStr">
        <is>
          <t>Ja</t>
        </is>
      </c>
      <c r="M55" s="16" t="inlineStr">
        <is>
          <t>Enterprise Tech und radikale Technologie mit skalierbaren Geschaeftsmodellen im deutschsprachigen Raum: Software, Datenbanken, Cloud-Infrastruktur, Developer Tools, Digital Twins, AI</t>
        </is>
      </c>
      <c r="N55" s="16" t="inlineStr">
        <is>
          <t>ArangoDB (Multi-Model-/Graph-Datenbank), Instana (APM/Observability, 2020 an IBM verkauft), Swarm64 (Datenbank-Beschleunigung), NavVis (Indoor-Digitalisierung/3D-Scanning), German Autolabs (Voice AI), TIS, Tado</t>
        </is>
      </c>
      <c r="O55" s="16" t="inlineStr">
        <is>
          <t>Sehr hoch nach Kompetenzprofil: ArangoDB, Swarm64 und Instana belegen echte Data-Infrastruktur- und Dev-Tools-Erfahrung; NavVis liefert zusaetzlich 3D-/Sensordaten-Verstaendnis</t>
        </is>
      </c>
      <c r="P55" s="16" t="inlineStr">
        <is>
          <t>Data-Infra-nah</t>
        </is>
      </c>
      <c r="Q55" s="16" t="inlineStr">
        <is>
          <t>Berthold von Freyberg</t>
        </is>
      </c>
      <c r="R55" s="16" t="inlineStr">
        <is>
          <t>Partner und Mitgruender (weitere Partner: Johannes Landgraf, Michael Muennix, Jakob Herold; Mitgruender Kurt Mueller und Waldemar Jantz)</t>
        </is>
      </c>
      <c r="S55" s="16" t="inlineStr">
        <is>
          <t>n/a (Profilseite: https://www.targetpartners.de/people/kurt-mueller)</t>
        </is>
      </c>
      <c r="T55" s="16" t="inlineStr">
        <is>
          <t>start@targetpartners.de</t>
        </is>
      </c>
      <c r="U55" s="16" t="inlineStr">
        <is>
          <t>Muenchner Early-Stage-Fonds mit dem staerksten Data-Infrastruktur-Track-Record der Batch (ArangoDB, Swarm64, Instana) und offener Pitch-Adresse; der einzige Schwachpunkt ist die unklare aktuelle Fondsgeneration.</t>
        </is>
      </c>
      <c r="V55" s="16" t="inlineStr">
        <is>
          <t>Kein oeffentlich kommunizierter neuer Fonds; AUM von ca. EUR 300 Mio. stammt aus aelteren Fondsgenerationen, verfuegbares Dry Powder unklar; niedrige Neuinvestment-Frequenz in den letzten Jahren; keine Ticketgroesse veroeffentlicht</t>
        </is>
      </c>
      <c r="W55" s="16" t="inlineStr">
        <is>
          <t>An den Data-Infra-Track-Record anknuepfen: 'Ihr habt ArangoDB und Swarm64 fruehphasig finanziert - PathWize baut die naechste Schicht darueber: die Trainingsdaten-Infrastruktur fuer europaeische AI-Teams.'</t>
        </is>
      </c>
      <c r="X55" s="18" t="n">
        <v>27</v>
      </c>
      <c r="Y55" s="18" t="n">
        <v>26</v>
      </c>
      <c r="Z55" s="18" t="n">
        <v>16</v>
      </c>
      <c r="AA55" s="18" t="n">
        <v>6</v>
      </c>
      <c r="AB55" s="18" t="n">
        <v>10</v>
      </c>
      <c r="AC55" s="15" t="inlineStr">
        <is>
          <t>Mittel</t>
        </is>
      </c>
      <c r="AD55" s="15" t="inlineStr">
        <is>
          <t>Bestandsliste</t>
        </is>
      </c>
      <c r="AE55" s="16" t="inlineStr">
        <is>
          <t>https://www.targetpartners.de/</t>
        </is>
      </c>
      <c r="AF55" s="16" t="inlineStr">
        <is>
          <t>https://www.targetpartners.de/, https://www.munich-startup.de/en/48867/target-partners/, https://www.crunchbase.com/organization/target-partners, https://www.targetpartners.de/people/kurt-mueller</t>
        </is>
      </c>
    </row>
    <row r="56">
      <c r="A56" s="12" t="n">
        <v>52</v>
      </c>
      <c r="B56" s="14" t="inlineStr">
        <is>
          <t>First Momentum Ventures</t>
        </is>
      </c>
      <c r="C56" s="13" t="inlineStr">
        <is>
          <t>A</t>
        </is>
      </c>
      <c r="D56" s="13" t="n">
        <v>84</v>
      </c>
      <c r="E56" s="15" t="inlineStr">
        <is>
          <t>Karlsruhe (pan-europaeisch taetig)</t>
        </is>
      </c>
      <c r="F56" s="15" t="inlineStr">
        <is>
          <t>Deutschland</t>
        </is>
      </c>
      <c r="G56" s="15" t="inlineStr">
        <is>
          <t>VC (Pre-Seed)</t>
        </is>
      </c>
      <c r="H56" s="16" t="inlineStr">
        <is>
          <t>Pre-Seed (erster institutioneller Check)</t>
        </is>
      </c>
      <c r="I56" s="15" t="inlineStr">
        <is>
          <t>Ja - Lead oder Co-Lead</t>
        </is>
      </c>
      <c r="J56" s="16" t="inlineStr">
        <is>
          <t>250 Tsd. - 1,5 Mio. EUR</t>
        </is>
      </c>
      <c r="K56" s="16" t="inlineStr">
        <is>
          <t>Fund II: 35 Mio. EUR (Apr 2025)</t>
        </is>
      </c>
      <c r="L56" s="18" t="inlineStr">
        <is>
          <t>Ja</t>
        </is>
      </c>
      <c r="M56" s="16" t="inlineStr">
        <is>
          <t>Technisches Deep Tech / B2B im Pre-Seed; Website nennt explizit: AI &amp; ML, Software Infrastructure, Compute, Manufacturing &amp; Robotics, Climate &amp; Energy, Aerospace, Computational Biology</t>
        </is>
      </c>
      <c r="N56" s="16" t="inlineStr">
        <is>
          <t>Atlas Bio (Deep Learning fuer Pharma), Karavela (Brain Foundation Models), Quantum Diamonds, Daedalus, Dive Solutions, TURN2X, Roofline; 40+ Portfoliounternehmen</t>
        </is>
      </c>
      <c r="O56" s="16" t="inlineStr">
        <is>
          <t>Kein direktes Labeling-Investment nachweisbar; 'Software Infrastructure' und 'AI &amp; ML' sind aber ausdrueckliche Investitionsfelder, in die ein Trainingsdaten-Infrastruktur-Case passt</t>
        </is>
      </c>
      <c r="P56" s="16" t="inlineStr">
        <is>
          <t>-</t>
        </is>
      </c>
      <c r="Q56" s="16" t="inlineStr">
        <is>
          <t>Andreas Fischer</t>
        </is>
      </c>
      <c r="R56" s="16" t="inlineStr">
        <is>
          <t>Founding Partner; weitere: Sebastian Boehmer (Founding Partner), Maximilian Ochs (Principal), Christian Neumann (Principal)</t>
        </is>
      </c>
      <c r="S56" s="16" t="inlineStr">
        <is>
          <t>n/a</t>
        </is>
      </c>
      <c r="T56" s="16" t="inlineStr">
        <is>
          <t>info@firstmomentum.vc</t>
        </is>
      </c>
      <c r="U56" s="16" t="inlineStr">
        <is>
          <t>Deutscher Pre-Seed-Lead mit frischem 35-Mio.-EUR-Fonds, der AI/ML und Software-Infrastruktur explizit als Investitionsfelder ausweist und ausdruecklich technische Gruender adressiert ('we speak your language') - Stage, Geo und Ticketgroesse passen exakt.</t>
        </is>
      </c>
      <c r="V56" s="16" t="inlineStr">
        <is>
          <t>Portfolio ist stark hardware-/deep-tech-lastig (Quantum, Fusion, Robotik); ein human-in-the-loop-Service-Anteil koennte als zu wenig 'deep tech' gelesen werden; kleiner Fonds mit begrenzter Follow-on-Kraft</t>
        </is>
      </c>
      <c r="W56" s="16" t="inlineStr">
        <is>
          <t>Direkt an info@firstmomentum.vc mit technischem Pitch: PathWize als Software-Infrastruktur-Play - Labeling-Pipeline mit Automatisierungsgrad und Qualitaetsmetriken, nicht als Dienstleistungsgeschaeft.</t>
        </is>
      </c>
      <c r="X56" s="18" t="n">
        <v>30</v>
      </c>
      <c r="Y56" s="18" t="n">
        <v>24</v>
      </c>
      <c r="Z56" s="18" t="n">
        <v>11</v>
      </c>
      <c r="AA56" s="18" t="n">
        <v>9</v>
      </c>
      <c r="AB56" s="18" t="n">
        <v>10</v>
      </c>
      <c r="AC56" s="18" t="inlineStr">
        <is>
          <t>Hoch</t>
        </is>
      </c>
      <c r="AD56" s="15" t="inlineStr">
        <is>
          <t>Bestandsliste</t>
        </is>
      </c>
      <c r="AE56" s="16" t="inlineStr">
        <is>
          <t>https://www.firstmomentum.vc/</t>
        </is>
      </c>
      <c r="AF56" s="16" t="inlineStr">
        <is>
          <t>https://www.firstmomentum.vc/</t>
        </is>
      </c>
    </row>
    <row r="57">
      <c r="A57" s="12" t="n">
        <v>53</v>
      </c>
      <c r="B57" s="14" t="inlineStr">
        <is>
          <t>Coparion</t>
        </is>
      </c>
      <c r="C57" s="13" t="inlineStr">
        <is>
          <t>A</t>
        </is>
      </c>
      <c r="D57" s="13" t="n">
        <v>83</v>
      </c>
      <c r="E57" s="15" t="inlineStr">
        <is>
          <t>Koeln (zusaetzlich Berlin)</t>
        </is>
      </c>
      <c r="F57" s="18" t="inlineStr">
        <is>
          <t>DE</t>
        </is>
      </c>
      <c r="G57" s="15" t="inlineStr">
        <is>
          <t>Public-Private VC (KfW Capital und Bundeswirtschaftsministerium)</t>
        </is>
      </c>
      <c r="H57" s="16" t="inlineStr">
        <is>
          <t>Seed, Series A, Series B</t>
        </is>
      </c>
      <c r="I57" s="15" t="inlineStr">
        <is>
          <t>Nein - investiert ausschliesslich pari passu mit privaten Co-Investoren, uebernimmt keine Leadfunktion</t>
        </is>
      </c>
      <c r="J57" s="16" t="inlineStr">
        <is>
          <t>0,5 - 8 Mio. EUR pro Runde, bis 15 Mio. EUR pro Unternehmen kumuliert</t>
        </is>
      </c>
      <c r="K57" s="16" t="inlineStr">
        <is>
          <t>aktiver Fonds 275 Mio. EUR</t>
        </is>
      </c>
      <c r="L57" s="18" t="inlineStr">
        <is>
          <t>Ja</t>
        </is>
      </c>
      <c r="M57" s="16" t="inlineStr">
        <is>
          <t>Junge deutsche Technologieunternehmen aller Sektoren mit ersten Erfolgssignalen (Umsatz, Referenzkunden, erfolgreicher Produktlaunch); Enterprise Software, High Tech, Industrial, AI</t>
        </is>
      </c>
      <c r="N57" s="16" t="inlineStr">
        <is>
          <t>Hasty.ai (Annotationsplattform fuer Computer Vision, Berlin - Exit an CloudFactory), zeotap (Customer Data Platform), parcelLab, gridX, 3YOURMIND, ContractHero</t>
        </is>
      </c>
      <c r="O57" s="16" t="inlineStr">
        <is>
          <t>Sehr hoch - Coparion hat mit Hasty.ai bereits direkt in eine deutsche Data-Annotation-Plattform investiert und diese bis zum Exit begleitet; das Team kennt Markt, Metriken und Kaeuferlandschaft</t>
        </is>
      </c>
      <c r="P57" s="16" t="inlineStr">
        <is>
          <t>DIREKT: Cloudfactory, Hasty – Wettbewerbskonflikt pruefen</t>
        </is>
      </c>
      <c r="Q57" s="16" t="inlineStr">
        <is>
          <t>Christian Schulte</t>
        </is>
      </c>
      <c r="R57" s="16" t="inlineStr">
        <is>
          <t>Geschaeftsfuehrer / Managing Director</t>
        </is>
      </c>
      <c r="S57" s="16" t="inlineStr">
        <is>
          <t>n/a</t>
        </is>
      </c>
      <c r="T57" s="16" t="inlineStr">
        <is>
          <t>info@coparion.vc, Tel. +49 30 58 58 44 00, Kontaktformular auf coparion.vc</t>
        </is>
      </c>
      <c r="U57" s="16" t="inlineStr">
        <is>
          <t>Coparion ist der einzige VC dieser Batch mit einem direkten Data-Annotation-Investment (Hasty.ai, Berlin, Exit an CloudFactory) und deckt mit 275 Mio. EUR und Tickets von 0,5 - 8 Mio. EUR genau die Seed- bis Series-A-Spanne von PathWize ab.</t>
        </is>
      </c>
      <c r="V57" s="16" t="inlineStr">
        <is>
          <t>Kein Lead moeglich - es braucht zwingend einen privaten Lead-Investor zu identischen Konditionen; erste Erfolgssignale wie Umsatz oder Referenzkunden werden vorausgesetzt, reines Pre-Seed passt nicht</t>
        </is>
      </c>
      <c r="W57" s="16" t="inlineStr">
        <is>
          <t>Direkt an das Hasty.ai-Investment anknuepfen und PathWize als naechste Generation deutscher Annotation-Infrastruktur positionieren - mit einem bereits gesicherten privaten Lead-Investor im Gepaeck.</t>
        </is>
      </c>
      <c r="X57" s="18" t="n">
        <v>24</v>
      </c>
      <c r="Y57" s="18" t="n">
        <v>22</v>
      </c>
      <c r="Z57" s="18" t="n">
        <v>19</v>
      </c>
      <c r="AA57" s="18" t="n">
        <v>8</v>
      </c>
      <c r="AB57" s="18" t="n">
        <v>10</v>
      </c>
      <c r="AC57" s="18" t="inlineStr">
        <is>
          <t>Hoch</t>
        </is>
      </c>
      <c r="AD57" s="15" t="inlineStr">
        <is>
          <t>Bestandsliste</t>
        </is>
      </c>
      <c r="AE57" s="16" t="inlineStr">
        <is>
          <t>https://www.coparion.vc/</t>
        </is>
      </c>
      <c r="AF57" s="16" t="inlineStr">
        <is>
          <t>https://www.coparion.vc/, https://www.coparion.vc/en/node/811, https://www.coparion.vc/en/node/1073, https://tech.eu/brief/hasty-seed-funding/, https://tracxn.com/d/venture-capital/coparion</t>
        </is>
      </c>
    </row>
    <row r="58">
      <c r="A58" s="12" t="n">
        <v>54</v>
      </c>
      <c r="B58" s="14" t="inlineStr">
        <is>
          <t>Creandum</t>
        </is>
      </c>
      <c r="C58" s="13" t="inlineStr">
        <is>
          <t>A</t>
        </is>
      </c>
      <c r="D58" s="13" t="n">
        <v>83</v>
      </c>
      <c r="E58" s="15" t="inlineStr">
        <is>
          <t>Stockholm (+ Berlin, London, San Francisco)</t>
        </is>
      </c>
      <c r="F58" s="18" t="inlineStr">
        <is>
          <t>SE</t>
        </is>
      </c>
      <c r="G58" s="18" t="inlineStr">
        <is>
          <t>VC</t>
        </is>
      </c>
      <c r="H58" s="16" t="inlineStr">
        <is>
          <t>Seed und Series A, 'before it's obvious'</t>
        </is>
      </c>
      <c r="I58" s="15" t="inlineStr">
        <is>
          <t>Ja - fuehrt Seed- und Series-A-Runden regelmaessig an</t>
        </is>
      </c>
      <c r="J58" s="16" t="inlineStr">
        <is>
          <t>n/a (Seed-/Series-A-Leadtickets typisch 2-15 Mio. USD)</t>
        </is>
      </c>
      <c r="K58" s="16" t="inlineStr">
        <is>
          <t>Fund VII 500 Mio. EUR (2024, aktuell im Deployment); insgesamt neun Fonds</t>
        </is>
      </c>
      <c r="L58" s="18" t="inlineStr">
        <is>
          <t>Ja</t>
        </is>
      </c>
      <c r="M58" s="16" t="inlineStr">
        <is>
          <t>Generalistisch ueber sechs Verticals: SaaS, Infrastructure, Fintech, Consumer, Climate, Health; Infrastructure umfasst High-Performance-Cloud-Computing und fortgeschrittene Datenbanktechnologien</t>
        </is>
      </c>
      <c r="N58" s="16" t="inlineStr">
        <is>
          <t>HostedAI (AI-Infrastruktur, 2026), Spotify, Klarna, Depop; eigenes Infrastructure-Vertical mit Fokus auf Compute- und Datenbanktechnologie</t>
        </is>
      </c>
      <c r="O58" s="16" t="inlineStr">
        <is>
          <t>Mittel-Hoch - 'Infrastructure' ist ein eigenes Vertical und mit Peter Specht existiert ein General Partner mit dediziertem AI-Infrastruktur-Fokus</t>
        </is>
      </c>
      <c r="P58" s="16" t="inlineStr">
        <is>
          <t>Data-Infra-nah</t>
        </is>
      </c>
      <c r="Q58" s="16" t="inlineStr">
        <is>
          <t>Peter Specht</t>
        </is>
      </c>
      <c r="R58" s="16" t="inlineStr">
        <is>
          <t>General Partner (London; explizit AI-Fokus auf Infrastruktur- und Applikationsebene, baute den DACH-Hub in Berlin mit auf)</t>
        </is>
      </c>
      <c r="S58" s="16" t="inlineStr">
        <is>
          <t>n/a (Profilseite: https://creandum.com/team/peter-specht/)</t>
        </is>
      </c>
      <c r="T58" s="16" t="inlineStr">
        <is>
          <t>Kontakt ueber https://creandum.com/; Berliner Investment-Team vor Ort (Simon Schmincke, GP)</t>
        </is>
      </c>
      <c r="U58" s="16" t="inlineStr">
        <is>
          <t>500-Mio.-EUR-Fonds im aktiven Deployment mit eigenem Infrastructure-Vertical, einem GP mit erklaertem AI-Infrastruktur-Fokus und einem etablierten Berliner Team fuer DACH-Deals.</t>
        </is>
      </c>
      <c r="V58" s="16" t="inlineStr">
        <is>
          <t>Generalistisch, Nordics-Schwerpunkt; kein Annotation-/Labeling-Investment belegbar; hoher Qualitaetsanspruch an Traktion selbst im Seed; kein echtes Pre-Seed</t>
        </is>
      </c>
      <c r="W58" s="16" t="inlineStr">
        <is>
          <t>Peter Specht direkt mit der Infrastruktur-These ansprechen: PathWize ist die Datenqualitaetsschicht des AI-Stacks, nicht ein Outsourcing-Dienstleister.</t>
        </is>
      </c>
      <c r="X58" s="18" t="n">
        <v>27</v>
      </c>
      <c r="Y58" s="18" t="n">
        <v>24</v>
      </c>
      <c r="Z58" s="18" t="n">
        <v>13</v>
      </c>
      <c r="AA58" s="18" t="n">
        <v>10</v>
      </c>
      <c r="AB58" s="18" t="n">
        <v>9</v>
      </c>
      <c r="AC58" s="15" t="inlineStr">
        <is>
          <t>Mittel</t>
        </is>
      </c>
      <c r="AD58" s="15" t="inlineStr">
        <is>
          <t>Bestandsliste</t>
        </is>
      </c>
      <c r="AE58" s="16" t="inlineStr">
        <is>
          <t>https://creandum.com/</t>
        </is>
      </c>
      <c r="AF58" s="16" t="inlineStr">
        <is>
          <t>https://creandum.com/, https://creandum.com/team/peter-specht/, https://creandum.com/team/simon-schmincke/, https://tracxn.com/d/venture-capital/creandum/__RT350Gv9s-g2zp6C7v5m7xy1M7GpV30U0ykxBB35zyo, https://pitchbook.com/profiles/fund/25333-93F</t>
        </is>
      </c>
    </row>
    <row r="59">
      <c r="A59" s="12" t="n">
        <v>55</v>
      </c>
      <c r="B59" s="14" t="inlineStr">
        <is>
          <t>Dawn Capital</t>
        </is>
      </c>
      <c r="C59" s="13" t="inlineStr">
        <is>
          <t>A</t>
        </is>
      </c>
      <c r="D59" s="13" t="n">
        <v>83</v>
      </c>
      <c r="E59" s="15" t="inlineStr">
        <is>
          <t>London</t>
        </is>
      </c>
      <c r="F59" s="15" t="inlineStr">
        <is>
          <t>Vereinigtes Königreich</t>
        </is>
      </c>
      <c r="G59" s="15" t="inlineStr">
        <is>
          <t>VC (unabhängig, B2B-Spezialist)</t>
        </is>
      </c>
      <c r="H59" s="16" t="inlineStr">
        <is>
          <t>Series A und Series B (selektiv später Seed), plus Opportunities-Fonds für Folgerunden</t>
        </is>
      </c>
      <c r="I59" s="15" t="inlineStr">
        <is>
          <t>Ja - typischer Lead-Investor in Series A/B</t>
        </is>
      </c>
      <c r="J59" s="16" t="inlineStr">
        <is>
          <t>n/a (typisch mittlerer bis hoher einstelliger bis niedriger zweistelliger Mio.-USD-Bereich in Series A/B)</t>
        </is>
      </c>
      <c r="K59" s="16" t="inlineStr">
        <is>
          <t>n/a (auf der Website nicht ausgewiesen; Dawn zählt zu den größten reinen B2B-Fonds Europas)</t>
        </is>
      </c>
      <c r="L59" s="18" t="inlineStr">
        <is>
          <t>Ja</t>
        </is>
      </c>
      <c r="M59" s="16" t="inlineStr">
        <is>
          <t>Ausschließlich B2B-Software in Europa: Data &amp; Analytics, Data Governance, Enterprise AI, Security, FinTech-Infrastruktur, Developer- und Infrastruktur-Tooling. Über 20 Jahre Track Record, thesengetriebenes Sourcing.</t>
        </is>
      </c>
      <c r="N59" s="16" t="inlineStr">
        <is>
          <t>Dataiku (Data-Science-/AI-Plattform, auf der Website gelistet), Runware (Unified AI API / Inferenz-Infrastruktur), Blackwall (Security), Mimecast; darüber hinaus gelten Collibra (Data Governance) und Quantexa (Decision Intelligence / Entity Resolution) als bekannte Dawn-Investments (nicht in dieser Recherche auf der Website verifiziert).</t>
        </is>
      </c>
      <c r="O59" s="16" t="inlineStr">
        <is>
          <t>Sehr hoch. Dawn ist einer der wenigen europäischen Fonds mit tiefer, belegter Expertise in Daten-Plattformen und Data Governance (Dataiku, Collibra, Quantexa). Data Labeling als Baustein der Enterprise-AI-Datenkette liegt direkt in der These.</t>
        </is>
      </c>
      <c r="P59" s="16" t="inlineStr">
        <is>
          <t>-</t>
        </is>
      </c>
      <c r="Q59" s="16" t="inlineStr">
        <is>
          <t>Evgenia Plotnikova</t>
        </is>
      </c>
      <c r="R59" s="16" t="inlineStr">
        <is>
          <t>General Partner (Fokus Enterprise-Software/Data; nicht in dieser Recherche über die Website verifiziert)</t>
        </is>
      </c>
      <c r="S59" s="16" t="inlineStr">
        <is>
          <t>n/a</t>
        </is>
      </c>
      <c r="T59" s="16" t="inlineStr">
        <is>
          <t>hello@dawncapital.com</t>
        </is>
      </c>
      <c r="U59" s="16" t="inlineStr">
        <is>
          <t>Thematisch nahezu ideal: reiner B2B-Fonds mit belegter Historie in Daten- und AI-Plattformen (Dataiku, Runware) und Data-Governance. Investiert europaweit inklusive DACH und führt Runden an. Einzige Einschränkung ist die Stage: Dawn steigt typischerweise ab Series A ein, Pre-Seed ist praktisch ausgeschlossen.</t>
        </is>
      </c>
      <c r="V59" s="16" t="inlineStr">
        <is>
          <t>Kein Pre-Seed-Investor - für die frühesten Runden zu spät. Erwartet in der Regel belastbares ARR und Enterprise-Referenzkunden. Keine eigene DACH-Niederlassung.</t>
        </is>
      </c>
      <c r="W59" s="16" t="inlineStr">
        <is>
          <t>Als Series-A-Ziel jetzt aufbauen und bis zur Runde warmhalten. Positionierung als 'Datenqualitätsschicht für Enterprise AI' anschlussfähig an Dataiku und Collibra formulieren; konkret zeigen, wie PathWize-Labeling die Modellgüte bei Dawn-Portfoliofirmen verbessern würde (Runware, Dataiku als Referenzlogik).</t>
        </is>
      </c>
      <c r="X59" s="18" t="n">
        <v>22</v>
      </c>
      <c r="Y59" s="18" t="n">
        <v>26</v>
      </c>
      <c r="Z59" s="18" t="n">
        <v>18</v>
      </c>
      <c r="AA59" s="18" t="n">
        <v>9</v>
      </c>
      <c r="AB59" s="18" t="n">
        <v>8</v>
      </c>
      <c r="AC59" s="15" t="inlineStr">
        <is>
          <t>Mittel</t>
        </is>
      </c>
      <c r="AD59" s="15" t="inlineStr">
        <is>
          <t>NEU – Recherche-Ergaenzung</t>
        </is>
      </c>
      <c r="AE59" s="16" t="inlineStr">
        <is>
          <t>https://www.dawncapital.com/</t>
        </is>
      </c>
      <c r="AF59" s="16" t="inlineStr">
        <is>
          <t>https://www.dawncapital.com/</t>
        </is>
      </c>
    </row>
    <row r="60">
      <c r="A60" s="12" t="n">
        <v>56</v>
      </c>
      <c r="B60" s="14" t="inlineStr">
        <is>
          <t>Alven</t>
        </is>
      </c>
      <c r="C60" s="13" t="inlineStr">
        <is>
          <t>A</t>
        </is>
      </c>
      <c r="D60" s="13" t="n">
        <v>82</v>
      </c>
      <c r="E60" s="18" t="inlineStr">
        <is>
          <t>Paris</t>
        </is>
      </c>
      <c r="F60" s="15" t="inlineStr">
        <is>
          <t>Frankreich</t>
        </is>
      </c>
      <c r="G60" s="15" t="inlineStr">
        <is>
          <t>VC (unabhängig, Early Stage, seit 25 Jahren aktiv)</t>
        </is>
      </c>
      <c r="H60" s="16" t="inlineStr">
        <is>
          <t>Seed und Series A (Early Stage)</t>
        </is>
      </c>
      <c r="I60" s="18" t="inlineStr">
        <is>
          <t>Ja</t>
        </is>
      </c>
      <c r="J60" s="16" t="inlineStr">
        <is>
          <t>n/a (Website weist keine Spanne aus)</t>
        </is>
      </c>
      <c r="K60" s="16" t="inlineStr">
        <is>
          <t>n/a</t>
        </is>
      </c>
      <c r="L60" s="18" t="inlineStr">
        <is>
          <t>Ja</t>
        </is>
      </c>
      <c r="M60" s="16" t="inlineStr">
        <is>
          <t>Early-Stage-Investor in europäische Gründerteams, sektorübergreifend mit ausgeprägter Stärke in Daten-, Infrastruktur- und Entwickler-nahen Produkten sowie FinTech und Cybersecurity.</t>
        </is>
      </c>
      <c r="N60" s="16" t="inlineStr">
        <is>
          <t>Dataiku (Data-Science-/AI-Plattform - frühester institutioneller Investor), Algolia (Search-Infrastruktur), Stripe, Qonto, Stoïk (Cyber), Generare (Molekül-Design) - alle auf der Website gelistet.</t>
        </is>
      </c>
      <c r="O60" s="16" t="inlineStr">
        <is>
          <t>Hoch. Alven hat mit Dataiku eine der prägendsten europäischen Data-/ML-Plattformen von der Frühphase begleitet und versteht die Wertschöpfungskette von Rohdaten über Aufbereitung bis Modelltraining.</t>
        </is>
      </c>
      <c r="P60" s="16" t="inlineStr">
        <is>
          <t>-</t>
        </is>
      </c>
      <c r="Q60" s="16" t="inlineStr">
        <is>
          <t>Charles Letourneur</t>
        </is>
      </c>
      <c r="R60" s="16" t="inlineStr">
        <is>
          <t>Founding Partner (nicht in dieser Recherche über die Website verifiziert)</t>
        </is>
      </c>
      <c r="S60" s="16" t="inlineStr">
        <is>
          <t>n/a</t>
        </is>
      </c>
      <c r="T60" s="16" t="inlineStr">
        <is>
          <t>contact@alven.co</t>
        </is>
      </c>
      <c r="U60" s="16" t="inlineStr">
        <is>
          <t>Exzellenter thematischer Fit über Dataiku und Algolia: Alven kennt Daten- und Infrastrukturprodukte in der Frühphase und investiert genau in den Stages Seed/Series A, die PathWize sucht.</t>
        </is>
      </c>
      <c r="V60" s="16" t="inlineStr">
        <is>
          <t>Deutlicher Frankreich-Schwerpunkt; DACH-Investments sind für Alven die Ausnahme, kein Büro in Deutschland. Website nennt weder Fondsgröße noch Ticketspanne - Konditionen müssen direkt erfragt werden.</t>
        </is>
      </c>
      <c r="W60" s="16" t="inlineStr">
        <is>
          <t>Direkt per E-Mail (contact@alven.co) mit Dataiku-Analogie: PathWize als vorgelagerte Datenqualitätsschicht zu Plattformen wie Dataiku. Französische Foundation-Model- und AI-Szene (Mistral-Umfeld) als potenzielle Kundenbasis konkret benennen, um den Frankreich-Bezug herzustellen.</t>
        </is>
      </c>
      <c r="X60" s="18" t="n">
        <v>26</v>
      </c>
      <c r="Y60" s="18" t="n">
        <v>24</v>
      </c>
      <c r="Z60" s="18" t="n">
        <v>17</v>
      </c>
      <c r="AA60" s="18" t="n">
        <v>9</v>
      </c>
      <c r="AB60" s="18" t="n">
        <v>6</v>
      </c>
      <c r="AC60" s="15" t="inlineStr">
        <is>
          <t>Mittel</t>
        </is>
      </c>
      <c r="AD60" s="15" t="inlineStr">
        <is>
          <t>NEU – Recherche-Ergaenzung</t>
        </is>
      </c>
      <c r="AE60" s="16" t="inlineStr">
        <is>
          <t>https://www.alven.co/</t>
        </is>
      </c>
      <c r="AF60" s="16" t="inlineStr">
        <is>
          <t>https://www.alven.co/</t>
        </is>
      </c>
    </row>
    <row r="61">
      <c r="A61" s="12" t="n">
        <v>57</v>
      </c>
      <c r="B61" s="14" t="inlineStr">
        <is>
          <t>Futury Capital</t>
        </is>
      </c>
      <c r="C61" s="13" t="inlineStr">
        <is>
          <t>A</t>
        </is>
      </c>
      <c r="D61" s="13" t="n">
        <v>82</v>
      </c>
      <c r="E61" s="15" t="inlineStr">
        <is>
          <t>Frankfurt am Main</t>
        </is>
      </c>
      <c r="F61" s="15" t="inlineStr">
        <is>
          <t>Deutschland</t>
        </is>
      </c>
      <c r="G61" s="15" t="inlineStr">
        <is>
          <t>VC (regional verankert, u.a. mit Beteiligung der Länder Hessen, Rheinland-Pfalz, Saarland und KfW Capital)</t>
        </is>
      </c>
      <c r="H61" s="16" t="inlineStr">
        <is>
          <t>Seed und Series A, selektiv bis Growth über einen zweiten Fonds</t>
        </is>
      </c>
      <c r="I61" s="15" t="inlineStr">
        <is>
          <t>Teilweise - tritt sowohl als Lead als auch als Co-Investor in Frühphasenrunden auf</t>
        </is>
      </c>
      <c r="J61" s="16" t="inlineStr">
        <is>
          <t>ca. 500 Tsd. bis 8 Mio. EUR durchschnittliche Checkgröße</t>
        </is>
      </c>
      <c r="K61" s="16" t="inlineStr">
        <is>
          <t>Futury Fund III mit 47 Mio. EUR (2024, überzeichnet); zusätzlich ein Growth-Fonds; über 39 Investments</t>
        </is>
      </c>
      <c r="L61" s="18" t="inlineStr">
        <is>
          <t>Ja</t>
        </is>
      </c>
      <c r="M61" s="16" t="inlineStr">
        <is>
          <t>Vier explizite Fokusfelder: Robotics (Automatisierung in Produktion und Logistik), Green Tech, Data &amp; AI ('intelligente Technologien für datengetriebene Wertschöpfung') und Photonics. Deutsche und internationale Tech-Unternehmen von Seed bis Growth.</t>
        </is>
      </c>
      <c r="N61" s="16" t="inlineStr">
        <is>
          <t>PROCURE AI (KI für Einkauf), Tvarit (Industrial AI/Machine Learning für Fertigung), Aaron.ai (Sprach-KI), BITA (Daten- und Index-Infrastruktur), embold (Code-Analyse), Pixel Photonics</t>
        </is>
      </c>
      <c r="O61" s="16" t="inlineStr">
        <is>
          <t>Hoch: 'Data &amp; AI' ist eines von vier offiziellen Investmentfeldern, und Investments wie Tvarit (Industrial ML) und BITA (Datenprodukte) belegen praktisches Verständnis für Datenwertschöpfung. Ein direktes Labeling-Investment ist nicht belegt.</t>
        </is>
      </c>
      <c r="P61" s="16" t="inlineStr">
        <is>
          <t>-</t>
        </is>
      </c>
      <c r="Q61" s="16" t="inlineStr">
        <is>
          <t>n/a (siebenköpfiges Kernteam; Zuordnung einzelner Partner zum Feld Data &amp; AI auf der Website nicht ausgewiesen)</t>
        </is>
      </c>
      <c r="R61" s="16" t="inlineStr">
        <is>
          <t>n/a</t>
        </is>
      </c>
      <c r="S61" s="16" t="inlineStr">
        <is>
          <t>n/a</t>
        </is>
      </c>
      <c r="T61" s="16" t="inlineStr">
        <is>
          <t>info@futurycapital.vc ; Paul-Ehrlich-Str. 51, 60596 Frankfurt am Main</t>
        </is>
      </c>
      <c r="U61" s="16" t="inlineStr">
        <is>
          <t>Futury Capital führt 'Data &amp; AI' als eines von nur vier offiziellen Fokusfeldern, investiert in Seed und Series A mit passenden Checks von 500 Tsd. bis 8 Mio. EUR und hat mit Tvarit und PROCURE AI belegte AI-Investments in Deutschland.</t>
        </is>
      </c>
      <c r="V61" s="16" t="inlineStr">
        <is>
          <t>Fonds III mit 47 Mio. EUR ist vergleichsweise klein, was Follow-on-Kapazität begrenzt; regionale Ausrichtung auf Hessen, Rheinland-Pfalz und Saarland könnte bei Standorten außerhalb dieser Region ein Kriterium sein. Kein namentlich zuordenbarer Data-/AI-Partner öffentlich.</t>
        </is>
      </c>
      <c r="W61" s="16" t="inlineStr">
        <is>
          <t>Direkt an info@futurycapital.vc mit Bezug auf das Fokusfeld 'Data &amp; AI' und den Industrial-ML-Case Tvarit: PathWize liefert die Human-in-the-Loop-Trainingsdaten, die genau diese Portfolio-These skalierbar macht.</t>
        </is>
      </c>
      <c r="X61" s="18" t="n">
        <v>26</v>
      </c>
      <c r="Y61" s="18" t="n">
        <v>25</v>
      </c>
      <c r="Z61" s="18" t="n">
        <v>14</v>
      </c>
      <c r="AA61" s="18" t="n">
        <v>7</v>
      </c>
      <c r="AB61" s="18" t="n">
        <v>10</v>
      </c>
      <c r="AC61" s="18" t="inlineStr">
        <is>
          <t>Hoch</t>
        </is>
      </c>
      <c r="AD61" s="15" t="inlineStr">
        <is>
          <t>Bestandsliste</t>
        </is>
      </c>
      <c r="AE61" s="16" t="inlineStr">
        <is>
          <t>https://futurycapital.vc/</t>
        </is>
      </c>
      <c r="AF61" s="16" t="inlineStr">
        <is>
          <t>https://futurycapital.vc/en/, https://hub.waveup.com/funds/futury-capital, https://superscout.co/investor/futury-capital, https://www.crunchbase.com/organization/futury-ventures, https://www.centerofstartups.de/companies/futury_capital</t>
        </is>
      </c>
    </row>
    <row r="62">
      <c r="A62" s="12" t="n">
        <v>58</v>
      </c>
      <c r="B62" s="14" t="inlineStr">
        <is>
          <t>LBBW Venture Capital</t>
        </is>
      </c>
      <c r="C62" s="13" t="inlineStr">
        <is>
          <t>A</t>
        </is>
      </c>
      <c r="D62" s="13" t="n">
        <v>82</v>
      </c>
      <c r="E62" s="15" t="inlineStr">
        <is>
          <t>Stuttgart (Koenigstrasse 10 C, 70173)</t>
        </is>
      </c>
      <c r="F62" s="15" t="inlineStr">
        <is>
          <t>Deutschland</t>
        </is>
      </c>
      <c r="G62" s="15" t="inlineStr">
        <is>
          <t>Corporate VC (eigenstaendige Tochter der Landesbank Baden-Wuerttemberg, gegruendet 1998)</t>
        </is>
      </c>
      <c r="H62" s="16" t="inlineStr">
        <is>
          <t>Seed und Series A</t>
        </is>
      </c>
      <c r="I62" s="15" t="inlineStr">
        <is>
          <t>Ja, beteiligt sich als Lead oder Co-Lead an Fruehphasenrunden</t>
        </is>
      </c>
      <c r="J62" s="16" t="inlineStr">
        <is>
          <t>Erstticket bis zu 3 Mio. EUR</t>
        </is>
      </c>
      <c r="K62" s="16" t="inlineStr">
        <is>
          <t>n/a explizit; ueber 60 bis 85 Portfoliounternehmen im Bestand</t>
        </is>
      </c>
      <c r="L62" s="18" t="inlineStr">
        <is>
          <t>Ja</t>
        </is>
      </c>
      <c r="M62" s="16" t="inlineStr">
        <is>
          <t>Drei Bereiche: Digital Transformation (Enterprise IT, IoT, Industrie 4.0, AI/ML, Big Data &amp; Analytics), Life Science/HealthTech und Financial Technology. Softwaregetriebene Ansaetze in industriellen Sektoren stehen im Zentrum.</t>
        </is>
      </c>
      <c r="N62" s="16" t="inlineStr">
        <is>
          <t>AI/ML sowie Big Data &amp; Analytics sind explizit ausgeschriebene Investmentfelder des Tech-Teams; konkrete Labeling-/MLOps-Beteiligungen n/a.</t>
        </is>
      </c>
      <c r="O62" s="16" t="inlineStr">
        <is>
          <t>Hoch auf Thesenebene: "AI/ML, Big Data &amp; Analytics" ist woertlich Teil des Mandats; Portfolio-Nachweis fuer Annotation/Labeling konnte nicht belegt werden.</t>
        </is>
      </c>
      <c r="P62" s="16" t="inlineStr">
        <is>
          <t>Data-Infra-nah</t>
        </is>
      </c>
      <c r="Q62" s="16" t="inlineStr">
        <is>
          <t>n/a (Tech-Team, Namen nicht auf der Website belegt)</t>
        </is>
      </c>
      <c r="R62" s="16" t="inlineStr">
        <is>
          <t>n/a</t>
        </is>
      </c>
      <c r="S62" s="16" t="inlineStr">
        <is>
          <t>n/a</t>
        </is>
      </c>
      <c r="T62" s="16" t="inlineStr">
        <is>
          <t>future@lbbwvc.de</t>
        </is>
      </c>
      <c r="U62" s="16" t="inlineStr">
        <is>
          <t>Seed-bis-Series-A-Mandat mit bis zu 3 Mio. EUR Erstticket und einer woertlich AI/ML-, Big-Data- und Analytics-basierten These im DACH-Raum - dazu ein direkt nutzbarer E-Mail-Kanal.</t>
        </is>
      </c>
      <c r="V62" s="16" t="inlineStr">
        <is>
          <t>Bankeigener Investor mit entsprechenden Compliance-Prozessen; kein explizit benannter Ansprechpartner fuer AI; konkrete AI-Portfolio-Namen nicht oeffentlich belegbar; Fondsvolumen intransparent.</t>
        </is>
      </c>
      <c r="W62" s="16" t="inlineStr">
        <is>
          <t>Direkte E-Mail an future@lbbwvc.de mit dem Industrie-4.0-Winkel: PathWize liefert annotierte Sensor- und Bilddaten fuer die Fertigungs- und Mittelstandskunden im LBBW-Umfeld.</t>
        </is>
      </c>
      <c r="X62" s="18" t="n">
        <v>27</v>
      </c>
      <c r="Y62" s="18" t="n">
        <v>24</v>
      </c>
      <c r="Z62" s="18" t="n">
        <v>13</v>
      </c>
      <c r="AA62" s="18" t="n">
        <v>8</v>
      </c>
      <c r="AB62" s="18" t="n">
        <v>10</v>
      </c>
      <c r="AC62" s="15" t="inlineStr">
        <is>
          <t>Mittel</t>
        </is>
      </c>
      <c r="AD62" s="15" t="inlineStr">
        <is>
          <t>Bestandsliste</t>
        </is>
      </c>
      <c r="AE62" s="16" t="inlineStr">
        <is>
          <t>https://www.lbbwvc.de/</t>
        </is>
      </c>
      <c r="AF62" s="16" t="inlineStr">
        <is>
          <t>https://www.lbbwvc.de/, https://superscout.co/investor/lbbw-venture-capital-gmbh, https://www.startbase.com/organization/lbbw-venture-capital-gmbh/, https://www.linkedin.com/company/lbbw-venture-capital-gmbh/</t>
        </is>
      </c>
    </row>
    <row r="63">
      <c r="A63" s="12" t="n">
        <v>59</v>
      </c>
      <c r="B63" s="14" t="inlineStr">
        <is>
          <t>Project A Ventures</t>
        </is>
      </c>
      <c r="C63" s="13" t="inlineStr">
        <is>
          <t>A</t>
        </is>
      </c>
      <c r="D63" s="13" t="n">
        <v>82</v>
      </c>
      <c r="E63" s="15" t="inlineStr">
        <is>
          <t>Berlin (+ London)</t>
        </is>
      </c>
      <c r="F63" s="18" t="inlineStr">
        <is>
          <t>DE</t>
        </is>
      </c>
      <c r="G63" s="15" t="inlineStr">
        <is>
          <t>VC mit Operator-Plattform (ca. 100 Operators)</t>
        </is>
      </c>
      <c r="H63" s="16" t="inlineStr">
        <is>
          <t>Pre-Seed und Seed, 15-20 Deals pro Jahr</t>
        </is>
      </c>
      <c r="I63" s="15" t="inlineStr">
        <is>
          <t>Ja - fuehrt Pre-Seed- und Seed-Runden regelmaessig an</t>
        </is>
      </c>
      <c r="J63" s="16" t="inlineStr">
        <is>
          <t>1 - 6 Mio. EUR Erstinvestment (Angaben bis 8 Mio. EUR kursieren)</t>
        </is>
      </c>
      <c r="K63" s="16" t="inlineStr">
        <is>
          <t>Fund V: 325 Mio. EUR (Jun 2025)</t>
        </is>
      </c>
      <c r="L63" s="18" t="inlineStr">
        <is>
          <t>Ja</t>
        </is>
      </c>
      <c r="M63" s="16" t="inlineStr">
        <is>
          <t>Vier Themen: European Resilience (Security/Sovereignty), Fintech, Future of Autonomous Work (intelligente Software und Re-Architektur des Unternehmens), Global Supply Chains - 'thematische Tiefe mit generalistischer Breite'</t>
        </is>
      </c>
      <c r="N63" s="16" t="inlineStr">
        <is>
          <t>11x (AI-Agenten/AI SDR), Quantum Systems, sennder, Trade Republic; ueber 30 weitere gelistete Companies</t>
        </is>
      </c>
      <c r="O63" s="16" t="inlineStr">
        <is>
          <t>Mittel - 'Future of Autonomous Work' und AI sind Kernthemen, ein dediziertes Data-Infra-/Labeling-Investment ist jedoch nicht belegbar</t>
        </is>
      </c>
      <c r="P63" s="16" t="inlineStr">
        <is>
          <t>-</t>
        </is>
      </c>
      <c r="Q63" s="16" t="inlineStr">
        <is>
          <t>Uwe Horstmann</t>
        </is>
      </c>
      <c r="R63" s="16" t="inlineStr">
        <is>
          <t>General Partner &amp; Co-Founder (weitere: Florian Heinemann, Anton Waitz, Ben Fischer)</t>
        </is>
      </c>
      <c r="S63" s="16" t="inlineStr">
        <is>
          <t>n/a</t>
        </is>
      </c>
      <c r="T63" s="16" t="inlineStr">
        <is>
          <t>https://www.project-a.vc/contact; zusaetzlich Project A Studio fuer sehr fruehe Ideen</t>
        </is>
      </c>
      <c r="U63" s="16" t="inlineStr">
        <is>
          <t>Perfekter Stage- und Geo-Fit: Berliner Pre-Seed/Seed-Lead mit frischem 325-Mio.-EUR-Fonds, 1-6 Mio. EUR Tickets und einer Operator-Plattform, die Data-Ops-Themen operativ versteht.</t>
        </is>
      </c>
      <c r="V63" s="16" t="inlineStr">
        <is>
          <t>Kein belegbares Data-Infra-/Annotation-Investment; thematischer Schwerpunkt zuletzt stark auf Defence/European Resilience verschoben; hoher Deal-Flow bedeutet starken Wettbewerb um Aufmerksamkeit</t>
        </is>
      </c>
      <c r="W63" s="16" t="inlineStr">
        <is>
          <t>Unter 'Future of Autonomous Work' framen: ohne saubere Human-in-the-loop-Trainingsdaten skaliert kein AI-Agent - PathWize ist die Qualitaetsschicht darunter.</t>
        </is>
      </c>
      <c r="X63" s="18" t="n">
        <v>30</v>
      </c>
      <c r="Y63" s="18" t="n">
        <v>22</v>
      </c>
      <c r="Z63" s="18" t="n">
        <v>10</v>
      </c>
      <c r="AA63" s="18" t="n">
        <v>10</v>
      </c>
      <c r="AB63" s="18" t="n">
        <v>10</v>
      </c>
      <c r="AC63" s="18" t="inlineStr">
        <is>
          <t>Hoch</t>
        </is>
      </c>
      <c r="AD63" s="15" t="inlineStr">
        <is>
          <t>Bestandsliste</t>
        </is>
      </c>
      <c r="AE63" s="16" t="inlineStr">
        <is>
          <t>https://www.project-a.vc/ (frueher project-a.com)</t>
        </is>
      </c>
      <c r="AF63" s="16" t="inlineStr">
        <is>
          <t>https://www.project-a.vc/, https://www.project-a.vc/contact, https://pitchbook.com/profiles/investor/54588-07</t>
        </is>
      </c>
    </row>
    <row r="64">
      <c r="A64" s="12" t="n">
        <v>60</v>
      </c>
      <c r="B64" s="14" t="inlineStr">
        <is>
          <t>Smart Infrastructure Ventures GmbH</t>
        </is>
      </c>
      <c r="C64" s="13" t="inlineStr">
        <is>
          <t>A</t>
        </is>
      </c>
      <c r="D64" s="13" t="n">
        <v>82</v>
      </c>
      <c r="E64" s="15" t="inlineStr">
        <is>
          <t>Leipzig (Baumwollspinnerei)</t>
        </is>
      </c>
      <c r="F64" s="18" t="inlineStr">
        <is>
          <t>DE</t>
        </is>
      </c>
      <c r="G64" s="18" t="inlineStr">
        <is>
          <t>VC</t>
        </is>
      </c>
      <c r="H64" s="16" t="inlineStr">
        <is>
          <t>Pre-Seed und Seed</t>
        </is>
      </c>
      <c r="I64" s="15" t="inlineStr">
        <is>
          <t>Teilweise (haeufig Co-Lead bzw. Syndikatspartner, Ticket zu klein fuer alleinigen Lead groesserer Runden)</t>
        </is>
      </c>
      <c r="J64" s="16" t="inlineStr">
        <is>
          <t>bis EUR 500k Erstinvestment, Follow-on moeglich</t>
        </is>
      </c>
      <c r="K64" s="16" t="inlineStr">
        <is>
          <t>SIVentures II mit EUR 30 Mio. (Launch August 2025), Ziel ca. 30 Teams; Fonds I mit ca. 30 Investments, Exits u.a. Mementor und Preventio</t>
        </is>
      </c>
      <c r="L64" s="18" t="inlineStr">
        <is>
          <t>Ja</t>
        </is>
      </c>
      <c r="M64" s="16" t="inlineStr">
        <is>
          <t>Fruehphasige B2B-Technologie im DACH-Raum mit Schwerpunkt KI, IT-Infrastruktur und Energie; historisch zusaetzlich Cybersecurity, PropTech, Smart City und eHealth</t>
        </is>
      </c>
      <c r="N64" s="16" t="inlineStr">
        <is>
          <t>traide AI (KI-gestuetzte Zolltarifierung, Berlin), Enginsight (Cybersecurity-Automatisierung, Jena), Mainteny (SaaS fuer Wartungsmanagement), ifesca-nahes Umfeld im Energie-KI-Bereich</t>
        </is>
      </c>
      <c r="O64" s="16" t="inlineStr">
        <is>
          <t>Hoch nach These, mittel nach Belegen: KI und IT-Infrastruktur sind ausdrueckliche Fondsschwerpunkte, aber es gibt kein belegtes Labeling-/MLOps-Investment</t>
        </is>
      </c>
      <c r="P64" s="16" t="inlineStr">
        <is>
          <t>-</t>
        </is>
      </c>
      <c r="Q64" s="16" t="inlineStr">
        <is>
          <t>Bjoern Bauermeister</t>
        </is>
      </c>
      <c r="R64" s="16" t="inlineStr">
        <is>
          <t>Co-Founder &amp; General Partner (zweiter Co-Founder &amp; General Partner: Dirk Daniel Frohnert)</t>
        </is>
      </c>
      <c r="S64" s="16" t="inlineStr">
        <is>
          <t>n/a (Crunchbase-Profil: https://www.crunchbase.com/person/bj%C3%B6rn-bauermeister)</t>
        </is>
      </c>
      <c r="T64" s="16" t="inlineStr">
        <is>
          <t>Kontakt ueber https://siventures.de/ ; Firmenmail-Schema @smartinfrastructure.ventures</t>
        </is>
      </c>
      <c r="U64" s="16" t="inlineStr">
        <is>
          <t>SIVentures II wurde im August 2025 explizit fuer KI, IT-Infrastruktur und Energie im DACH-Raum aufgelegt, investiert Pre-Seed/Seed und hat frisches Dry Powder - thesenseitig eine der direktesten Passungen der Batch.</t>
        </is>
      </c>
      <c r="V64" s="16" t="inlineStr">
        <is>
          <t>Ticket von maximal EUR 500k ist fuer eine groessere Seed-Runde zu klein, PathWize braucht ein Syndikat; regionaler Schwerpunkt Ostdeutschland/Leipzig; kleines Team</t>
        </is>
      </c>
      <c r="W64" s="16" t="inlineStr">
        <is>
          <t>Auf die SIVentures-II-These 'KI und IT-Infrastruktur in DACH' referenzieren und PathWize als die Datenschicht positionieren, die Portfoliofaelle wie traide AI ueberhaupt erst trainierbar macht.</t>
        </is>
      </c>
      <c r="X64" s="18" t="n">
        <v>28</v>
      </c>
      <c r="Y64" s="18" t="n">
        <v>24</v>
      </c>
      <c r="Z64" s="18" t="n">
        <v>12</v>
      </c>
      <c r="AA64" s="18" t="n">
        <v>8</v>
      </c>
      <c r="AB64" s="18" t="n">
        <v>10</v>
      </c>
      <c r="AC64" s="15" t="inlineStr">
        <is>
          <t>Mittel</t>
        </is>
      </c>
      <c r="AD64" s="15" t="inlineStr">
        <is>
          <t>Bestandsliste</t>
        </is>
      </c>
      <c r="AE64" s="16" t="inlineStr">
        <is>
          <t>https://siventures.de/</t>
        </is>
      </c>
      <c r="AF64" s="16" t="inlineStr">
        <is>
          <t>https://siventures.de/, https://www.eu-startups.com/2025/08/german-vc-fund-smart-infrastructure-ventures-launches-e30-million-siventures-ii-fund-to-support-early-stage-startups/, https://tech.eu/2025/08/05/smart-infrastructure-ventures-launches-eur30m-siventures-ii-fund/, https://www.spinlab.co/news/siventures-ii-launch, https://www.crunchbase.com/organization/smart-infrastructure-ventures</t>
        </is>
      </c>
    </row>
    <row r="65">
      <c r="A65" s="12" t="n">
        <v>61</v>
      </c>
      <c r="B65" s="14" t="inlineStr">
        <is>
          <t>xdeck</t>
        </is>
      </c>
      <c r="C65" s="13" t="inlineStr">
        <is>
          <t>A</t>
        </is>
      </c>
      <c r="D65" s="13" t="n">
        <v>82</v>
      </c>
      <c r="E65" s="15" t="inlineStr">
        <is>
          <t>Koeln (THE SHIP)</t>
        </is>
      </c>
      <c r="F65" s="18" t="inlineStr">
        <is>
          <t>DE</t>
        </is>
      </c>
      <c r="G65" s="15" t="inlineStr">
        <is>
          <t>Accelerator (equity-frei) + angeschlossener VC-Fonds (xdeck.vc, seit 2021)</t>
        </is>
      </c>
      <c r="H65" s="16" t="inlineStr">
        <is>
          <t>Pre-Seed und Seed (Wandeldarlehen oder priced rounds); Accelerator-Batches (Batch #14 Start Sept. 2026)</t>
        </is>
      </c>
      <c r="I65" s="15" t="inlineStr">
        <is>
          <t>Selten - meist Co-Investor/Erstticket neben groesseren Leads</t>
        </is>
      </c>
      <c r="J65" s="16" t="inlineStr">
        <is>
          <t>200 Tsd. - 500 Tsd. EUR Erstinvestment</t>
        </is>
      </c>
      <c r="K65" s="16" t="inlineStr">
        <is>
          <t>n/a (nicht oeffentlich ausgewiesen)</t>
        </is>
      </c>
      <c r="L65" s="18" t="inlineStr">
        <is>
          <t>Ja</t>
        </is>
      </c>
      <c r="M65" s="16" t="inlineStr">
        <is>
          <t>Europaeische B2B-Tech-Unternehmen mit Fokus Prozessautomatisierung, applied Big Data / Artificial Intelligence und Sustainability Tech; 'von Gruendern fuer Gruender'</t>
        </is>
      </c>
      <c r="N65" s="16" t="inlineStr">
        <is>
          <t>Kern AI (data-centric NLP/AI-Plattform), orq.ai (LLM-Ops/Generative-AI-Plattform), Floy (Medical AI), Scavenger, Omniscient, Experial, ContractHero; insgesamt ca. 25 Companies</t>
        </is>
      </c>
      <c r="O65" s="16" t="inlineStr">
        <is>
          <t>Mittel-Hoch - 'applied big data/AI' ist eine der drei Kernthesen, mit Kern AI und orq.ai existieren datennahe AI-Beteiligungen; Ticketgroesse jedoch klein</t>
        </is>
      </c>
      <c r="P65" s="16" t="inlineStr">
        <is>
          <t>-</t>
        </is>
      </c>
      <c r="Q65" s="16" t="inlineStr">
        <is>
          <t>Oliver Steinki</t>
        </is>
      </c>
      <c r="R65" s="16" t="inlineStr">
        <is>
          <t>Founding Partner</t>
        </is>
      </c>
      <c r="S65" s="16" t="inlineStr">
        <is>
          <t>n/a</t>
        </is>
      </c>
      <c r="T65" s="16" t="inlineStr">
        <is>
          <t>hello@xdeck.de; Bewerbung ueber https://xdeck.ac/ (Accelerator-Batch), LinkedIn: linkedin.com/company/xdeck</t>
        </is>
      </c>
      <c r="U65" s="16" t="inlineStr">
        <is>
          <t>'Applied Big Data / AI' und B2B-Prozessautomatisierung sind wortwoertlich die xdeck-These, und mit Kern AI sitzt bereits eine data-centric-AI-Company im Portfolio - passender Pre-Seed-Einstieg im deutschen Markt.</t>
        </is>
      </c>
      <c r="V65" s="16" t="inlineStr">
        <is>
          <t>Kleiner, nicht offengelegter Fonds; Tickets von 200-500 Tsd. EUR reichen fuer eine echte Seed-Runde nicht als Lead; Accelerator-Route bindet Zeit</t>
        </is>
      </c>
      <c r="W65" s="16" t="inlineStr">
        <is>
          <t>Ueber Kern AI positionieren: PathWize liefert die Human-in-the-loop-Labelingschicht, die data-centric-AI-Portfolios wie Kern AI und orq.ai operativ brauchen.</t>
        </is>
      </c>
      <c r="X65" s="18" t="n">
        <v>25</v>
      </c>
      <c r="Y65" s="18" t="n">
        <v>26</v>
      </c>
      <c r="Z65" s="18" t="n">
        <v>14</v>
      </c>
      <c r="AA65" s="18" t="n">
        <v>7</v>
      </c>
      <c r="AB65" s="18" t="n">
        <v>10</v>
      </c>
      <c r="AC65" s="15" t="inlineStr">
        <is>
          <t>Mittel</t>
        </is>
      </c>
      <c r="AD65" s="15" t="inlineStr">
        <is>
          <t>Bestandsliste</t>
        </is>
      </c>
      <c r="AE65" s="16" t="inlineStr">
        <is>
          <t>https://xdeck.vc/ (Accelerator: https://xdeck.ac/, Dach: https://xdeck.de/)</t>
        </is>
      </c>
      <c r="AF65" s="16" t="inlineStr">
        <is>
          <t>https://xdeck.vc/, https://xdeck.ac/, https://xdeck.de/, https://www.startbase.com/organization/xdeck/, https://www.accelerate.nrw/accelerator-programm/xdeck</t>
        </is>
      </c>
    </row>
    <row r="66">
      <c r="A66" s="12" t="n">
        <v>62</v>
      </c>
      <c r="B66" s="14" t="inlineStr">
        <is>
          <t>APEX Ventures</t>
        </is>
      </c>
      <c r="C66" s="13" t="inlineStr">
        <is>
          <t>A</t>
        </is>
      </c>
      <c r="D66" s="13" t="n">
        <v>81</v>
      </c>
      <c r="E66" s="18" t="inlineStr">
        <is>
          <t>Wien</t>
        </is>
      </c>
      <c r="F66" s="15" t="inlineStr">
        <is>
          <t>Oesterreich</t>
        </is>
      </c>
      <c r="G66" s="18" t="inlineStr">
        <is>
          <t>VC</t>
        </is>
      </c>
      <c r="H66" s="16" t="inlineStr">
        <is>
          <t>Seed &amp; Series A (fruehe Deep-Tech-Runden)</t>
        </is>
      </c>
      <c r="I66" s="18" t="inlineStr">
        <is>
          <t>Ja</t>
        </is>
      </c>
      <c r="J66" s="16" t="inlineStr">
        <is>
          <t>1 bis 1,5 Mio. EUR im Amadeus-APEX-Fonds; ueber alle Vehikel 500 Tsd. bis 5 Mio. EUR</t>
        </is>
      </c>
      <c r="K66" s="16" t="inlineStr">
        <is>
          <t>Amadeus x APEX Technology Fund mit 80 Mio. EUR Zielvolumen (28 Mio. EUR First Close 2023); aktueller Stand n/a</t>
        </is>
      </c>
      <c r="L66" s="18" t="inlineStr">
        <is>
          <t>Ja</t>
        </is>
      </c>
      <c r="M66" s="16" t="inlineStr">
        <is>
          <t>Deep Tech in Europa mit DACH-Schwerpunkt: AI/ML, Quantum Computing &amp; Photonik, Automation &amp; Robotik, Computer Vision, Space Tech, MedTech</t>
        </is>
      </c>
      <c r="N66" s="16" t="inlineStr">
        <is>
          <t>Mobius Labs (Computer-Vision-SDKs, Modell-Quantisierung fuer Edge Devices), contextflow (Medical-Imaging-AI), ImageBiopsy Lab (radiologische Bildanalyse); ca. 51 Portfolio-Companies</t>
        </is>
      </c>
      <c r="O66" s="16" t="inlineStr">
        <is>
          <t>Hoch - Computer Vision und Medical Imaging sind die annotationsintensivsten AI-Domaenen ueberhaupt; der Fonds versteht den Bedarf aus erster Hand</t>
        </is>
      </c>
      <c r="P66" s="16" t="inlineStr">
        <is>
          <t>-</t>
        </is>
      </c>
      <c r="Q66" s="16" t="inlineStr">
        <is>
          <t>Andreas Riegler</t>
        </is>
      </c>
      <c r="R66" s="16" t="inlineStr">
        <is>
          <t>Founder &amp; General Partner (Schwerpunkt AI und Space Tech)</t>
        </is>
      </c>
      <c r="S66" s="16" t="inlineStr">
        <is>
          <t>https://at.linkedin.com/in/andreasriegler</t>
        </is>
      </c>
      <c r="T66" s="16" t="inlineStr">
        <is>
          <t>Kontaktformular auf https://www.apex.ventures/; LinkedIn https://www.linkedin.com/company/apex-vc</t>
        </is>
      </c>
      <c r="U66" s="16" t="inlineStr">
        <is>
          <t>DACH-Deep-Tech-Fonds mit AI/ML und Computer Vision als expliziten Kernthemen und mit Mobius Labs, contextflow und ImageBiopsy Lab gleich drei annotationsabhaengigen Portfolio-Companies. Seed-/Series-A-Tickets von 1-1,5 Mio. EUR passen zur gesuchten Runde.</t>
        </is>
      </c>
      <c r="V66" s="16" t="inlineStr">
        <is>
          <t>Aktueller Fondsstatus und Dry Powder oeffentlich nicht belegbar (letzte harte Zahl ist der First Close 2023); Portfolio stark hardware- und medtech-lastig, reine Softwaredienstleistungen eher untypisch</t>
        </is>
      </c>
      <c r="W66" s="16" t="inlineStr">
        <is>
          <t>Direkt ueber Mobius Labs und contextflow argumentieren: PathWize loest den Annotationsengpass, an dem genau diese Computer-Vision-Portfolio-Companies skalieren muessen.</t>
        </is>
      </c>
      <c r="X66" s="18" t="n">
        <v>27</v>
      </c>
      <c r="Y66" s="18" t="n">
        <v>24</v>
      </c>
      <c r="Z66" s="18" t="n">
        <v>14</v>
      </c>
      <c r="AA66" s="18" t="n">
        <v>7</v>
      </c>
      <c r="AB66" s="18" t="n">
        <v>9</v>
      </c>
      <c r="AC66" s="15" t="inlineStr">
        <is>
          <t>Mittel</t>
        </is>
      </c>
      <c r="AD66" s="15" t="inlineStr">
        <is>
          <t>Bestandsliste</t>
        </is>
      </c>
      <c r="AE66" s="16" t="inlineStr">
        <is>
          <t>https://www.apex.ventures/</t>
        </is>
      </c>
      <c r="AF66" s="16" t="inlineStr">
        <is>
          <t>https://www.apex.ventures/, https://www.apex.ventures/project/mobius-labs/, https://www.amadeuscapital.com/amadeus-capital-partners-and-apex-ventures-join-forces-to-invest-in-european-deep-tech-partnership/, https://hello-tomorrow.org/discover-apex-ventures-with-founder-general-partner-andreas-riegler/, https://tracxn.com/d/venture-capital/apex-ventures/__OkcgFj5vDtMJ-v0XWpO4aNJqrrn0HvXZWZXjEVReyow</t>
        </is>
      </c>
    </row>
    <row r="67">
      <c r="A67" s="12" t="n">
        <v>63</v>
      </c>
      <c r="B67" s="14" t="inlineStr">
        <is>
          <t>Concept Ventures</t>
        </is>
      </c>
      <c r="C67" s="13" t="inlineStr">
        <is>
          <t>A</t>
        </is>
      </c>
      <c r="D67" s="13" t="n">
        <v>81</v>
      </c>
      <c r="E67" s="15" t="inlineStr">
        <is>
          <t>London</t>
        </is>
      </c>
      <c r="F67" s="18" t="inlineStr">
        <is>
          <t>UK</t>
        </is>
      </c>
      <c r="G67" s="15" t="inlineStr">
        <is>
          <t>VC (dedizierter Pre-Seed-Fonds)</t>
        </is>
      </c>
      <c r="H67" s="16" t="inlineStr">
        <is>
          <t>Ausschliesslich Pre-Seed - in der Regel der erste institutionelle Check</t>
        </is>
      </c>
      <c r="I67" s="15" t="inlineStr">
        <is>
          <t>Ja - fuehrt nach eigenen Angaben ueber 90 Prozent der Runden an</t>
        </is>
      </c>
      <c r="J67" s="16" t="inlineStr">
        <is>
          <t>durchschnittlich ca. 1 Mio. USD, bis 1,2 Mio. GBP</t>
        </is>
      </c>
      <c r="K67" s="16" t="inlineStr">
        <is>
          <t>Fund II 88 Mio. USD / 70 Mio. GBP / 75 Mio. EUR (Sep 2025) - groesster dedizierter Pre-Seed-Fonds Europas; Ziel ca. 50 Investments ueber vier Jahre</t>
        </is>
      </c>
      <c r="L67" s="18" t="inlineStr">
        <is>
          <t>Ja</t>
        </is>
      </c>
      <c r="M67" s="16" t="inlineStr">
        <is>
          <t>Sektoragnostisch mit erklaerten Schwerpunkten Artificial Intelligence, Defence, Consumer und Fintech; sucht 'exceptional founders with global ambitions'</t>
        </is>
      </c>
      <c r="N67" s="16" t="inlineStr">
        <is>
          <t>ElevenLabs (Pre-Seed), Anam (AI-Avatare), Dex, Arondite (Defence AI); Fund-I-Companies haben zusammen ueber 450 Mio. USD eingesammelt</t>
        </is>
      </c>
      <c r="O67" s="16" t="inlineStr">
        <is>
          <t>Mittel - AI ist explizites Schwerpunktthema mit starkem Track Record, aber ohne Data-Infra-/Annotation-Spezialisierung</t>
        </is>
      </c>
      <c r="P67" s="16" t="inlineStr">
        <is>
          <t>-</t>
        </is>
      </c>
      <c r="Q67" s="16" t="inlineStr">
        <is>
          <t>Oliver Kicks</t>
        </is>
      </c>
      <c r="R67" s="16" t="inlineStr">
        <is>
          <t>General Partner (Fokus AI, Marketplaces, Games; erster Mitarbeiter der Firma)</t>
        </is>
      </c>
      <c r="S67" s="16" t="inlineStr">
        <is>
          <t>n/a (Profil: https://signal.nfx.com/investors/oliver-kicks)</t>
        </is>
      </c>
      <c r="T67" s="16" t="inlineStr">
        <is>
          <t>Kontakt/Pitch ueber https://concept.vc/</t>
        </is>
      </c>
      <c r="U67" s="16" t="inlineStr">
        <is>
          <t>Frischer 88-Mio.-USD-Pre-Seed-Fonds, der ueber 90 Prozent seiner Runden anfuehrt, AI als Kernthema nennt und Deutschland ausdruecklich ins pan-europaeische Mandat von Fund II aufgenommen hat.</t>
        </is>
      </c>
      <c r="V67" s="16" t="inlineStr">
        <is>
          <t>Nur Pre-Seed - fuer eine Seed- oder Series-A-Runde nicht adressierbar; UK-first mit erst kurzer Historie ausserhalb Grossbritanniens; kein Data-Infra-Track-Record</t>
        </is>
      </c>
      <c r="W67" s="16" t="inlineStr">
        <is>
          <t>Als deutscher Pre-Seed-Testfall fuer das neue pan-europaeische Mandat positionieren, mit ElevenLabs als Beleg, dass Concept europaeische AI-Grundlagenwetten frueh trifft.</t>
        </is>
      </c>
      <c r="X67" s="18" t="n">
        <v>28</v>
      </c>
      <c r="Y67" s="18" t="n">
        <v>24</v>
      </c>
      <c r="Z67" s="18" t="n">
        <v>11</v>
      </c>
      <c r="AA67" s="18" t="n">
        <v>10</v>
      </c>
      <c r="AB67" s="18" t="n">
        <v>8</v>
      </c>
      <c r="AC67" s="18" t="inlineStr">
        <is>
          <t>Hoch</t>
        </is>
      </c>
      <c r="AD67" s="15" t="inlineStr">
        <is>
          <t>Bestandsliste</t>
        </is>
      </c>
      <c r="AE67" s="16" t="inlineStr">
        <is>
          <t>https://concept.vc/</t>
        </is>
      </c>
      <c r="AF67" s="16" t="inlineStr">
        <is>
          <t>https://concept.vc/, https://tech.eu/2025/09/30/concept-ventures-closes-88m-fund-ii-cementing-position-as-europes-largest-pre-seed-fund/, https://sifted.eu/articles/concept-ventures-raises-pre-seed-fund-88m, https://www.startupmag.co.uk/funding/concept-ventures-promotes-oliver-kicks-to-general-partner-closes-70m-fund-ii/, https://preseednow.com/p/concept-ventures-oliver-kicks</t>
        </is>
      </c>
    </row>
    <row r="68">
      <c r="A68" s="12" t="n">
        <v>64</v>
      </c>
      <c r="B68" s="14" t="inlineStr">
        <is>
          <t>Matterwave Ventures</t>
        </is>
      </c>
      <c r="C68" s="13" t="inlineStr">
        <is>
          <t>A</t>
        </is>
      </c>
      <c r="D68" s="13" t="n">
        <v>81</v>
      </c>
      <c r="E68" s="15" t="inlineStr">
        <is>
          <t>Muenchen</t>
        </is>
      </c>
      <c r="F68" s="15" t="inlineStr">
        <is>
          <t>Deutschland</t>
        </is>
      </c>
      <c r="G68" s="15" t="inlineStr">
        <is>
          <t>VC (Early Stage, Industrial/Deep Tech)</t>
        </is>
      </c>
      <c r="H68" s="16" t="inlineStr">
        <is>
          <t>Seed und Series A</t>
        </is>
      </c>
      <c r="I68" s="15" t="inlineStr">
        <is>
          <t>Ja (Board-Sitze in zahlreichen Portfolio-Companies, Lead-Investor-Rolle)</t>
        </is>
      </c>
      <c r="J68" s="16" t="inlineStr">
        <is>
          <t>EUR 1-4 Mio. Initial-Ticket (aeltere Quellen: ab EUR 0,5 Mio.)</t>
        </is>
      </c>
      <c r="K68" s="16" t="inlineStr">
        <is>
          <t>ca. EUR 250 Mio. AUM; Fonds II 'Matterwave Industrial Technologies II' mit EUR 75 Mio. First Close, Zielvolumen EUR 130 Mio. (LPs u.a. EIF, LfA Foerderbank Bayern, NRW.Bank)</t>
        </is>
      </c>
      <c r="L68" s="15" t="inlineStr">
        <is>
          <t>Teilweise</t>
        </is>
      </c>
      <c r="M68" s="16" t="inlineStr">
        <is>
          <t>Industrial Tech (digitale Transformation der Industrie), Deep Tech und Climate Tech / industrielle Dekarbonisierung; Hard- und Software fuer industrielle Wertschoepfungsketten. Spin-out des btov-Industrial-Technologies-Teams.</t>
        </is>
      </c>
      <c r="N68" s="16" t="inlineStr">
        <is>
          <t>Cybus ('the unified data layer for industrial operations'), Roseman Labs (Privacy-Preserving-Data-Collaboration), Ask for the Moon (AI-basiertes industrielles Wissensmanagement), LiveEO (Satellitendaten-Analytics/ML), Semalytix (NLP/Real-World-Data), Visplore (Data Analytics), ToolSense, Innerspace</t>
        </is>
      </c>
      <c r="O68" s="16" t="inlineStr">
        <is>
          <t>Hoch-mittel: Industrielle Computer-Vision- und Predictive-Maintenance-Portfolios brauchen annotierte Trainingsdaten; Cybus/Roseman Labs zeigen echtes Verstaendnis fuer Data-Infrastruktur-Geschaeftsmodelle.</t>
        </is>
      </c>
      <c r="P68" s="16" t="inlineStr">
        <is>
          <t>-</t>
        </is>
      </c>
      <c r="Q68" s="16" t="inlineStr">
        <is>
          <t>Benedikt Kronberger</t>
        </is>
      </c>
      <c r="R68" s="16" t="inlineStr">
        <is>
          <t>Founding Partner, Investmentfokus explizit Enterprise Software (Board u.a. bei Roseman Labs, Ninox, Testbirds, ToolSense, Visplore)</t>
        </is>
      </c>
      <c r="S68" s="16" t="inlineStr">
        <is>
          <t>n/a</t>
        </is>
      </c>
      <c r="T68" s="16" t="inlineStr">
        <is>
          <t>info@matterwave.vc, Pitch-Formular: https://www.matterwave.vc/pitch, Tel. +49 89 2867 3245</t>
        </is>
      </c>
      <c r="U68" s="16" t="inlineStr">
        <is>
          <t>Seed/Series-A-Lead-Investor aus Muenchen mit frischem Fonds II und einem Enterprise-Software-Partner, der bereits Data-Layer- und Privacy-Data-Companies (Cybus, Roseman Labs) im Board begleitet - PathWize passt als Data-Infrastruktur fuer industrielle AI.</t>
        </is>
      </c>
      <c r="V68" s="16" t="inlineStr">
        <is>
          <t>These ist industriell/deeptech geframed, nicht 'AI-first'; Climate-/Dekarbonisierungs-Anteil hoch; reines Software-Servicegeschaeft koennte als zu wenig 'Industrial' gelten.</t>
        </is>
      </c>
      <c r="W68" s="16" t="inlineStr">
        <is>
          <t>PathWize als 'Trainingsdaten-Layer fuer Industrial AI' positionieren - direkt anschlussfaehig an Cybus (Data Layer) und die Computer-Vision-Bedarfe im Matterwave-Portfolio.</t>
        </is>
      </c>
      <c r="X68" s="18" t="n">
        <v>28</v>
      </c>
      <c r="Y68" s="18" t="n">
        <v>19</v>
      </c>
      <c r="Z68" s="18" t="n">
        <v>15</v>
      </c>
      <c r="AA68" s="18" t="n">
        <v>9</v>
      </c>
      <c r="AB68" s="18" t="n">
        <v>10</v>
      </c>
      <c r="AC68" s="18" t="inlineStr">
        <is>
          <t>Hoch</t>
        </is>
      </c>
      <c r="AD68" s="15" t="inlineStr">
        <is>
          <t>Bestandsliste</t>
        </is>
      </c>
      <c r="AE68" s="16" t="inlineStr">
        <is>
          <t>https://www.matterwave.vc</t>
        </is>
      </c>
      <c r="AF68" s="16" t="inlineStr">
        <is>
          <t>https://www.matterwave.vc/, https://www.matterwave.vc/team, https://sifted.eu/articles/matterwave-75m-industrial-deeptech-fund-news, https://www.munich-startup.de/en/89905/matterwave-ventures-raises-75-million-for-industrial-tech-fund/</t>
        </is>
      </c>
    </row>
    <row r="69">
      <c r="A69" s="12" t="n">
        <v>65</v>
      </c>
      <c r="B69" s="14" t="inlineStr">
        <is>
          <t>Northzone</t>
        </is>
      </c>
      <c r="C69" s="13" t="inlineStr">
        <is>
          <t>A</t>
        </is>
      </c>
      <c r="D69" s="13" t="n">
        <v>81</v>
      </c>
      <c r="E69" s="15" t="inlineStr">
        <is>
          <t>London und Stockholm (weitere Büros: Berlin, Amsterdam, New York)</t>
        </is>
      </c>
      <c r="F69" s="15" t="inlineStr">
        <is>
          <t>Vereinigtes Königreich / Schweden</t>
        </is>
      </c>
      <c r="G69" s="15" t="inlineStr">
        <is>
          <t>VC (Multi-Stage, seit 1996)</t>
        </is>
      </c>
      <c r="H69" s="16" t="inlineStr">
        <is>
          <t>Seed bis Growth</t>
        </is>
      </c>
      <c r="I69" s="18" t="inlineStr">
        <is>
          <t>Ja</t>
        </is>
      </c>
      <c r="J69" s="16" t="inlineStr">
        <is>
          <t>n/a</t>
        </is>
      </c>
      <c r="K69" s="16" t="inlineStr">
        <is>
          <t>n/a (jüngster Flaggschiff-Fonds im hohen dreistelligen Mio.- bis Milliardenbereich; exakter Wert nicht über die Website verifiziert)</t>
        </is>
      </c>
      <c r="L69" s="18" t="inlineStr">
        <is>
          <t>Ja</t>
        </is>
      </c>
      <c r="M69" s="16" t="inlineStr">
        <is>
          <t>Multi-Stage-Generalist mit klarem Schwerpunkt auf 'category creators': AI/Foundation Models, Enterprise-Software, FinTech, Health, Marktplätze.</t>
        </is>
      </c>
      <c r="N69" s="16" t="inlineStr">
        <is>
          <t>Black Forest Labs (Freiburg, generative Bildmodelle), microagi (55 Mio. USD Seed, jüngst angekündigt), Blitzy, Xbow, Tandem Health, GC.AI, Cusp AI - alle auf der Website gelistet. Klassiker: Spotify, Klarna, Personio, Trustpilot.</t>
        </is>
      </c>
      <c r="O69" s="16" t="inlineStr">
        <is>
          <t>Hoch. Mit Black Forest Labs und microagi ist Northzone unmittelbar im europäischen Foundation-Model-Umfeld investiert - genau die Kundengruppe, die hochwertige, human-in-the-loop kuratierte Trainingsdaten benötigt.</t>
        </is>
      </c>
      <c r="P69" s="16" t="inlineStr">
        <is>
          <t>-</t>
        </is>
      </c>
      <c r="Q69" s="16" t="inlineStr">
        <is>
          <t>Michiel Kotting</t>
        </is>
      </c>
      <c r="R69" s="16" t="inlineStr">
        <is>
          <t>Partner (Amsterdam/Europa, Fokus Enterprise-Software; nicht in dieser Recherche über die Website verifiziert)</t>
        </is>
      </c>
      <c r="S69" s="16" t="inlineStr">
        <is>
          <t>n/a</t>
        </is>
      </c>
      <c r="T69" s="16" t="inlineStr">
        <is>
          <t>Über Team-/Kontaktseite auf https://northzone.com/</t>
        </is>
      </c>
      <c r="U69" s="16" t="inlineStr">
        <is>
          <t>Sehr aktiver Multi-Stage-Fonds mit Berliner Büro (direkter DACH-Zugang), starkem und aktuellem AI-Portfolio inklusive des deutschen Foundation-Model-Anbieters Black Forest Labs. Kann von Seed bis Growth begleiten und führt Runden an.</t>
        </is>
      </c>
      <c r="V69" s="16" t="inlineStr">
        <is>
          <t>Generalist ohne dedizierte Data-Infrastruktur-These - Labeling müsste als Plattform-/Kategoriewette erzählt werden. Pre-Seed eher untypisch. Fondsgröße erzeugt Druck auf große Outcomes, dienstleistungsnahe Margen könnten kritisch hinterfragt werden.</t>
        </is>
      </c>
      <c r="W69" s="16" t="inlineStr">
        <is>
          <t>Über das Berliner Büro ansprechen. Konkreter Aufhänger: Black Forest Labs und microagi als Referenz-Use-Case für kuratierte, rechtssichere europäische Trainingsdaten; PathWize als Zulieferer für das eigene Portfolio positionieren.</t>
        </is>
      </c>
      <c r="X69" s="18" t="n">
        <v>24</v>
      </c>
      <c r="Y69" s="18" t="n">
        <v>22</v>
      </c>
      <c r="Z69" s="18" t="n">
        <v>16</v>
      </c>
      <c r="AA69" s="18" t="n">
        <v>10</v>
      </c>
      <c r="AB69" s="18" t="n">
        <v>9</v>
      </c>
      <c r="AC69" s="15" t="inlineStr">
        <is>
          <t>Mittel</t>
        </is>
      </c>
      <c r="AD69" s="15" t="inlineStr">
        <is>
          <t>NEU – Recherche-Ergaenzung</t>
        </is>
      </c>
      <c r="AE69" s="16" t="inlineStr">
        <is>
          <t>https://northzone.com/</t>
        </is>
      </c>
      <c r="AF69" s="16" t="inlineStr">
        <is>
          <t>https://northzone.com/</t>
        </is>
      </c>
    </row>
    <row r="70">
      <c r="A70" s="12" t="n">
        <v>66</v>
      </c>
      <c r="B70" s="14" t="inlineStr">
        <is>
          <t>Signals Venture Capital</t>
        </is>
      </c>
      <c r="C70" s="13" t="inlineStr">
        <is>
          <t>A</t>
        </is>
      </c>
      <c r="D70" s="13" t="n">
        <v>81</v>
      </c>
      <c r="E70" s="15" t="inlineStr">
        <is>
          <t>Berlin</t>
        </is>
      </c>
      <c r="F70" s="18" t="inlineStr">
        <is>
          <t>DE</t>
        </is>
      </c>
      <c r="G70" s="15" t="inlineStr">
        <is>
          <t>VC (Corporate-nah, Ankerinvestor Signal Iduna)</t>
        </is>
      </c>
      <c r="H70" s="16" t="inlineStr">
        <is>
          <t>Seed und Series A (gelegentlich Series B Follow-on)</t>
        </is>
      </c>
      <c r="I70" s="15" t="inlineStr">
        <is>
          <t>Teilweise - haeufig Co-Lead in Seed-/Series-A-Runden</t>
        </is>
      </c>
      <c r="J70" s="16" t="inlineStr">
        <is>
          <t>1 - 5 Mio. EUR</t>
        </is>
      </c>
      <c r="K70" s="16" t="inlineStr">
        <is>
          <t>100 Mio. EUR</t>
        </is>
      </c>
      <c r="L70" s="18" t="inlineStr">
        <is>
          <t>Ja</t>
        </is>
      </c>
      <c r="M70" s="16" t="inlineStr">
        <is>
          <t>B2B-/Enterprise-Software in Europa mit explizitem Fokus auf Artificial Intelligence, Machine Learning und Enterprise Software; Randbereiche Health und Mobility</t>
        </is>
      </c>
      <c r="N70" s="16" t="inlineStr">
        <is>
          <t>Dreamdata (B2B-Revenue-Data-Plattform), Automation Hero (AI-Dokumentenautomatisierung), Monite, Intrro, Second Nature; ca. 24 Tech-/20 B2B-Software-Investments</t>
        </is>
      </c>
      <c r="O70" s="16" t="inlineStr">
        <is>
          <t>Mittel-Hoch - AI/ML ist als Investitionsfeld explizit benannt und das Portfolio ist konsequent B2B-Software/Datenprodukte, aber kein reines Labeling-Investment belegbar</t>
        </is>
      </c>
      <c r="P70" s="16" t="inlineStr">
        <is>
          <t>Data-Infra-nah</t>
        </is>
      </c>
      <c r="Q70" s="16" t="inlineStr">
        <is>
          <t>Christian Weniger</t>
        </is>
      </c>
      <c r="R70" s="16" t="inlineStr">
        <is>
          <t>General Partner (zweiter GP: Dr. Daniel Kirchleitner)</t>
        </is>
      </c>
      <c r="S70" s="16" t="inlineStr">
        <is>
          <t>n/a (Firmenprofil: https://www.linkedin.com/company/signals-vc/)</t>
        </is>
      </c>
      <c r="T70" s="16" t="inlineStr">
        <is>
          <t>Kontaktformular auf signals.vc; LinkedIn linkedin.com/company/signals-vc</t>
        </is>
      </c>
      <c r="U70" s="16" t="inlineStr">
        <is>
          <t>Die These deckt sich fast eins zu eins mit PathWize: Berliner Fonds, der explizit AI/ML und Enterprise Software mit 1-5 Mio. EUR im Seed und Series A finanziert.</t>
        </is>
      </c>
      <c r="V70" s="16" t="inlineStr">
        <is>
          <t>Erkennbar geringe Neuinvestitionsaktivitaet - letztes dokumentiertes Investment Okt 2025 (Second Nature), 2026 bisher keines; 100-Mio.-EUR-Fonds koennte weitgehend ausinvestiert sein; kein Pre-Seed</t>
        </is>
      </c>
      <c r="W70" s="16" t="inlineStr">
        <is>
          <t>Als B2B-Enterprise-Software-Case mit wiederkehrenden Umsaetzen pitchen und die Signal-Iduna-Naehe als Pilotkanal fuer Labeling in regulierten Versicherungs-/Finanzdaten nutzen.</t>
        </is>
      </c>
      <c r="X70" s="18" t="n">
        <v>26</v>
      </c>
      <c r="Y70" s="18" t="n">
        <v>28</v>
      </c>
      <c r="Z70" s="18" t="n">
        <v>12</v>
      </c>
      <c r="AA70" s="18" t="n">
        <v>5</v>
      </c>
      <c r="AB70" s="18" t="n">
        <v>10</v>
      </c>
      <c r="AC70" s="15" t="inlineStr">
        <is>
          <t>Mittel</t>
        </is>
      </c>
      <c r="AD70" s="15" t="inlineStr">
        <is>
          <t>Bestandsliste</t>
        </is>
      </c>
      <c r="AE70" s="16" t="inlineStr">
        <is>
          <t>https://www.signals.vc/</t>
        </is>
      </c>
      <c r="AF70" s="16" t="inlineStr">
        <is>
          <t>https://www.openvc.app/fund/Signals%20Venture%20Capital, https://tracxn.com/d/venture-capital/signals-venture-capital/__WYnSPvOm207Y6sraQnv6hj4V1OpYuZZ9MXoyjpEXSwM, https://www.crunchbase.com/organization/signals-vc, https://www.linkedin.com/company/signals-vc/</t>
        </is>
      </c>
    </row>
    <row r="71">
      <c r="A71" s="12" t="n">
        <v>67</v>
      </c>
      <c r="B71" s="14" t="inlineStr">
        <is>
          <t>IBB Ventures</t>
        </is>
      </c>
      <c r="C71" s="13" t="inlineStr">
        <is>
          <t>A</t>
        </is>
      </c>
      <c r="D71" s="13" t="n">
        <v>80</v>
      </c>
      <c r="E71" s="15" t="inlineStr">
        <is>
          <t>Berlin (Bundesallee 210, 10719)</t>
        </is>
      </c>
      <c r="F71" s="15" t="inlineStr">
        <is>
          <t>Deutschland</t>
        </is>
      </c>
      <c r="G71" s="15" t="inlineStr">
        <is>
          <t>VC (Public-Private, Investitionsbank Berlin + EFRE)</t>
        </is>
      </c>
      <c r="H71" s="16" t="inlineStr">
        <is>
          <t>Pre-Seed, Seed, Series A; zusaetzlich Fast-Lane-Programm B# fuer DeepTech-Gruender</t>
        </is>
      </c>
      <c r="I71" s="15" t="inlineStr">
        <is>
          <t>Ja bzw. Co-Lead in Berliner Seed-Runden, haeufig gemeinsam mit Business Angels und Seed-Fonds</t>
        </is>
      </c>
      <c r="J71" s="16" t="inlineStr">
        <is>
          <t>n/a explizit; typische Erst-Tickets im mittleren sechsstelligen bis niedrigen siebenstelligen Bereich</t>
        </is>
      </c>
      <c r="K71" s="16" t="inlineStr">
        <is>
          <t>ca. 120 Mio. EUR ueber drei aktuelle Fonds (VC Fonds Technologie III, VC Fonds Kreativwirtschaft III, VC Fonds Impact Berlin); ueber 350 finanzierte Startups</t>
        </is>
      </c>
      <c r="L71" s="18" t="inlineStr">
        <is>
          <t>Ja</t>
        </is>
      </c>
      <c r="M71" s="16" t="inlineStr">
        <is>
          <t>Drei Saeulen: Tech (Software &amp; IT, Industrial Tech, Healthcare), Creative (Consumer, D2C, Marken) und Impact. DeepTech und Unternehmen mit starkem digitalem Rueckgrat werden ausdruecklich adressiert, AI ist als Branchenfeld gelistet.</t>
        </is>
      </c>
      <c r="N71" s="16" t="inlineStr">
        <is>
          <t>Qdrant (Vektordatenbank, AI-Infrastruktur) als prominentestes Data-Infra-Investment; daneben zahlreiche Berliner Software-/SaaS-Beteiligungen.</t>
        </is>
      </c>
      <c r="O71" s="16" t="inlineStr">
        <is>
          <t>Hoch: Das Qdrant-Investment belegt konkretes Verstaendnis fuer AI-Infrastruktur und die Wertschoepfungskette rund um Trainings- und Embedding-Daten.</t>
        </is>
      </c>
      <c r="P71" s="16" t="inlineStr">
        <is>
          <t>Data-Infra-nah</t>
        </is>
      </c>
      <c r="Q71" s="16" t="inlineStr">
        <is>
          <t>n/a (Investment-Team auf der Website nicht namentlich gelistet)</t>
        </is>
      </c>
      <c r="R71" s="16" t="inlineStr">
        <is>
          <t>n/a</t>
        </is>
      </c>
      <c r="S71" s="16" t="inlineStr">
        <is>
          <t>n/a</t>
        </is>
      </c>
      <c r="T71" s="16" t="inlineStr">
        <is>
          <t>Bewerbung ueber "Get funded"-Portal auf ibbventures.de; zusaetzlich Office Hours via Typeform-Terminbuchung</t>
        </is>
      </c>
      <c r="U71" s="16" t="inlineStr">
        <is>
          <t>Einer der aktivsten Berliner Pre-Seed-/Seed-Investoren mit belegtem AI-Infrastruktur-Investment (Qdrant) und offenem, niedrigschwelligem Zugang ueber Office Hours - ideal fuer eine deutsche Pre-Seed-/Seed-Runde.</t>
        </is>
      </c>
      <c r="V71" s="16" t="inlineStr">
        <is>
          <t>Foerdermandat verlangt in der Regel Unternehmenssitz bzw. Betriebsstaette in Berlin; investiert selten allein als alleiniger Lead; EFRE-Reporting-Auflagen.</t>
        </is>
      </c>
      <c r="W71" s="16" t="inlineStr">
        <is>
          <t>Office Hours buchen und PathWize als Human-in-the-loop-Ergaenzung zum bestehenden AI-Infra-Investment Qdrant positionieren - gleiche Kaeuferzielgruppe, komplementaerer Layer im Berliner AI-Stack.</t>
        </is>
      </c>
      <c r="X71" s="18" t="n">
        <v>28</v>
      </c>
      <c r="Y71" s="18" t="n">
        <v>20</v>
      </c>
      <c r="Z71" s="18" t="n">
        <v>15</v>
      </c>
      <c r="AA71" s="18" t="n">
        <v>8</v>
      </c>
      <c r="AB71" s="18" t="n">
        <v>9</v>
      </c>
      <c r="AC71" s="15" t="inlineStr">
        <is>
          <t>Mittel</t>
        </is>
      </c>
      <c r="AD71" s="15" t="inlineStr">
        <is>
          <t>Bestandsliste</t>
        </is>
      </c>
      <c r="AE71" s="16" t="inlineStr">
        <is>
          <t>https://www.ibbventures.de/</t>
        </is>
      </c>
      <c r="AF71" s="16" t="inlineStr">
        <is>
          <t>https://www.ibbventures.de/en, https://www.ibb.de/en/foerderprogramme/vc-fonds.html, https://superscout.co/investor/ibb-ventures, https://vc-mapping.gilion.com/vc-firms/ibb-ventures</t>
        </is>
      </c>
    </row>
    <row r="72">
      <c r="A72" s="12" t="n">
        <v>68</v>
      </c>
      <c r="B72" s="14" t="inlineStr">
        <is>
          <t>Moonfire Ventures</t>
        </is>
      </c>
      <c r="C72" s="13" t="inlineStr">
        <is>
          <t>A</t>
        </is>
      </c>
      <c r="D72" s="13" t="n">
        <v>79</v>
      </c>
      <c r="E72" s="15" t="inlineStr">
        <is>
          <t>London</t>
        </is>
      </c>
      <c r="F72" s="15" t="inlineStr">
        <is>
          <t>Vereinigtes Königreich</t>
        </is>
      </c>
      <c r="G72" s="15" t="inlineStr">
        <is>
          <t>VC (unabhängig, datengetriebener Pre-Seed-/Seed-Fonds; gegründet von Atomico-Mitgründer)</t>
        </is>
      </c>
      <c r="H72" s="16" t="inlineStr">
        <is>
          <t>Pre-Seed und Seed</t>
        </is>
      </c>
      <c r="I72" s="15" t="inlineStr">
        <is>
          <t>Ja (typischer Pre-Seed-/Seed-Lead)</t>
        </is>
      </c>
      <c r="J72" s="16" t="inlineStr">
        <is>
          <t>n/a</t>
        </is>
      </c>
      <c r="K72" s="16" t="inlineStr">
        <is>
          <t>n/a</t>
        </is>
      </c>
      <c r="L72" s="18" t="inlineStr">
        <is>
          <t>Ja</t>
        </is>
      </c>
      <c r="M72" s="16" t="inlineStr">
        <is>
          <t>Fünf Themenfelder: 'Security, Infrastructure &amp; Tooling', 'Work &amp; Knowledge', 'Capital &amp; Finance', 'Gaming, Community &amp; Leisure', 'Health &amp; Wellbeing'. Sucht Unternehmen, die über Daten Zugang, Effizienz und Servicequalität verbessern. Versteht sich selbst als 'Technologieunternehmen, das Venture Capital macht' und nutzt eigene ML-Modelle für Sourcing.</t>
        </is>
      </c>
      <c r="N72" s="16" t="inlineStr">
        <is>
          <t>Lightdash (Open-Source-BI auf dbt - Data-Tooling), FlexionAI (Robotik über Simulation und Reinforcement Learning), Flagright (AI-Transaktionsmonitoring), Liveflow, Kernel (Custom AI für Revenue Ops) - alle Website-belegt.</t>
        </is>
      </c>
      <c r="O72" s="16" t="inlineStr">
        <is>
          <t>Hoch. Die Vertikale 'Infrastructure &amp; Tooling' plus Lightdash zeigen echtes Verständnis für Datenwerkzeuge; FlexionAI belegt Nähe zu trainingsdatenintensiven Modellen.</t>
        </is>
      </c>
      <c r="P72" s="16" t="inlineStr">
        <is>
          <t>Data-Infra-nah</t>
        </is>
      </c>
      <c r="Q72" s="16" t="inlineStr">
        <is>
          <t>Mattias Ljungman</t>
        </is>
      </c>
      <c r="R72" s="16" t="inlineStr">
        <is>
          <t>Founder / General Partner (Website-belegt als Teammitglied)</t>
        </is>
      </c>
      <c r="S72" s="16" t="inlineStr">
        <is>
          <t>n/a</t>
        </is>
      </c>
      <c r="T72" s="16" t="inlineStr">
        <is>
          <t>opportunities@moonfire.com</t>
        </is>
      </c>
      <c r="U72" s="16" t="inlineStr">
        <is>
          <t>Genau die gesuchte Stage (Pre-Seed/Seed), explizite Infrastruktur- und Tooling-These, datengetriebener Investmentprozess und ein Portfolio mit echten Data-Tools (Lightdash). Öffentlich genannte E-Mail-Adresse für Inbound senkt die Kontakthürde deutlich.</t>
        </is>
      </c>
      <c r="V72" s="16" t="inlineStr">
        <is>
          <t>Fonds- und Ticketgrößen nicht öffentlich - Kapazität für Folgerunden unklar. UK-Schwerpunkt, kein DACH-Büro. Der eigene ML-Sourcing-Ansatz bevorzugt Unternehmen mit starken digitalen Signalen; ein B2B-Enterprise-Modell mit wenig öffentlicher Spur kann durchs Raster fallen.</t>
        </is>
      </c>
      <c r="W72" s="16" t="inlineStr">
        <is>
          <t>Direkte Mail an opportunities@moonfire.com. Einordnung ausdrücklich unter 'Security, Infrastructure &amp; Tooling'. Da Moonfire selbst ML-Modelle baut, mit technischen Metriken argumentieren (Annotationsdurchsatz, Inter-Annotator-Agreement, Qualitäts-/Kostenkurve) statt mit Marktnarrativ.</t>
        </is>
      </c>
      <c r="X72" s="18" t="n">
        <v>28</v>
      </c>
      <c r="Y72" s="18" t="n">
        <v>23</v>
      </c>
      <c r="Z72" s="18" t="n">
        <v>13</v>
      </c>
      <c r="AA72" s="18" t="n">
        <v>9</v>
      </c>
      <c r="AB72" s="18" t="n">
        <v>6</v>
      </c>
      <c r="AC72" s="18" t="inlineStr">
        <is>
          <t>Hoch</t>
        </is>
      </c>
      <c r="AD72" s="15" t="inlineStr">
        <is>
          <t>NEU – Recherche-Ergaenzung</t>
        </is>
      </c>
      <c r="AE72" s="16" t="inlineStr">
        <is>
          <t>https://www.moonfire.com/</t>
        </is>
      </c>
      <c r="AF72" s="16" t="inlineStr">
        <is>
          <t>https://www.moonfire.com/</t>
        </is>
      </c>
    </row>
    <row r="73">
      <c r="A73" s="12" t="n">
        <v>69</v>
      </c>
      <c r="B73" s="14" t="inlineStr">
        <is>
          <t>Curiosity VC</t>
        </is>
      </c>
      <c r="C73" s="13" t="inlineStr">
        <is>
          <t>A</t>
        </is>
      </c>
      <c r="D73" s="13" t="n">
        <v>78</v>
      </c>
      <c r="E73" s="15" t="inlineStr">
        <is>
          <t>Amsterdam</t>
        </is>
      </c>
      <c r="F73" s="15" t="inlineStr">
        <is>
          <t>Niederlande</t>
        </is>
      </c>
      <c r="G73" s="15" t="inlineStr">
        <is>
          <t>VC (Pre-Seed/Seed)</t>
        </is>
      </c>
      <c r="H73" s="16" t="inlineStr">
        <is>
          <t>Pre-Seed und Seed (post-launch mit erster Kundentraktion)</t>
        </is>
      </c>
      <c r="I73" s="15" t="inlineStr">
        <is>
          <t>Ja - fuehrt kleine Pre-Seed-/Seed-Runden an bzw. co-leads</t>
        </is>
      </c>
      <c r="J73" s="16" t="inlineStr">
        <is>
          <t>klein, typisch unter 1 Mio. EUR</t>
        </is>
      </c>
      <c r="K73" s="16" t="inlineStr">
        <is>
          <t>Fund II: 17 Mio. EUR First Close (Jun 2026), Ziel 30-40 Mio. EUR; ca. 50 Mio. EUR AUM gesamt; LPs u.a. 44 Privatinvestoren und RVO Seed Capital</t>
        </is>
      </c>
      <c r="L73" s="18" t="inlineStr">
        <is>
          <t>Ja</t>
        </is>
      </c>
      <c r="M73" s="16" t="inlineStr">
        <is>
          <t>'We invest in B2B software companies applying new data, ML and AI technologies to create value'; vertikale/angewandte AI und agentische Software in Benelux, Nordics und Baltics; Themen: Future of Work, Trusted Society, Sustainable Living, Future of Commerce</t>
        </is>
      </c>
      <c r="N73" s="16" t="inlineStr">
        <is>
          <t>Orq.ai (LLMOps/AI-Agent-Deployment, Seed 5 Mio. EUR), Deeploy (Explainable AI und Model Monitoring), Dreamdata (B2B-Revenue-Data), Strise, Altura, Moonlit, QAtech</t>
        </is>
      </c>
      <c r="O73" s="16" t="inlineStr">
        <is>
          <t>Hoch relevant thematisch: LLMOps und Model Monitoring (Orq.ai, Deeploy) sind unmittelbare Nachbarkategorien zu Trainingsdaten-Qualitaet; kein direktes Labeling-Investment</t>
        </is>
      </c>
      <c r="P73" s="16" t="inlineStr">
        <is>
          <t>-</t>
        </is>
      </c>
      <c r="Q73" s="16" t="inlineStr">
        <is>
          <t>Herman Kienhuis</t>
        </is>
      </c>
      <c r="R73" s="16" t="inlineStr">
        <is>
          <t>Co-Founder &amp; Managing Partner (zuvor KPN Ventures); Maurice Beckand Verwee (Co-Founder &amp; Partner)</t>
        </is>
      </c>
      <c r="S73" s="16" t="inlineStr">
        <is>
          <t>n/a</t>
        </is>
      </c>
      <c r="T73" s="16" t="inlineStr">
        <is>
          <t>hello@curiosityvc.com; Pitch-Formular: https://forms.gle/gxXFoejN7WSpSXmF8</t>
        </is>
      </c>
      <c r="U73" s="16" t="inlineStr">
        <is>
          <t>Die These trifft PathWize woertlich ('B2B software applying new data, ML and AI technologies') und mit Orq.ai sowie Deeploy liegen zwei MLOps-Investments direkt daneben - limitierend sind Fondsgroesse und der Geo-Zuschnitt.</t>
        </is>
      </c>
      <c r="V73" s="16" t="inlineStr">
        <is>
          <t>Geografischer Zuschnitt auf Benelux, Nordics und Baltics - Deutschland ist nicht Zielregion; Fund II erst im First Close bei 17 Mio. EUR mit sehr kleinen Tickets, dadurch kaum Follow-on-Kraft; erwartet bereits Kundentraktion, kein reines Pre-Seed</t>
        </is>
      </c>
      <c r="W73" s="16" t="inlineStr">
        <is>
          <t>Ueber das oeffentliche Pitch-Formular mit MLOps-Framing: PathWize als Datenqualitaets-Layer unterhalb von Orq.ai und Deeploy, plus Hinweis auf Benelux-Kunden oder eine NL-Praesenz zur Geo-Passung.</t>
        </is>
      </c>
      <c r="X73" s="18" t="n">
        <v>29</v>
      </c>
      <c r="Y73" s="18" t="n">
        <v>26</v>
      </c>
      <c r="Z73" s="18" t="n">
        <v>14</v>
      </c>
      <c r="AA73" s="18" t="n">
        <v>5</v>
      </c>
      <c r="AB73" s="18" t="n">
        <v>4</v>
      </c>
      <c r="AC73" s="15" t="inlineStr">
        <is>
          <t>Mittel</t>
        </is>
      </c>
      <c r="AD73" s="15" t="inlineStr">
        <is>
          <t>Bestandsliste</t>
        </is>
      </c>
      <c r="AE73" s="16" t="inlineStr">
        <is>
          <t>https://www.curiosityvc.com/</t>
        </is>
      </c>
      <c r="AF73" s="16" t="inlineStr">
        <is>
          <t>https://www.curiosityvc.com/, https://www.vestbee.com/insights/articles/curiosity-vc-raises-17-m, https://fundmomentum.vc/funds/curiosity-vc-fund-ii, https://www.curiosityvc.com/post/orq-ai-closes-eu5m-in-seed-funding-to-help-enterprises-deploy-ai-agents-at-scale</t>
        </is>
      </c>
    </row>
    <row r="74">
      <c r="A74" s="12" t="n">
        <v>70</v>
      </c>
      <c r="B74" s="14" t="inlineStr">
        <is>
          <t>Dieter von Holtzbrinck Ventures</t>
        </is>
      </c>
      <c r="C74" s="13" t="inlineStr">
        <is>
          <t>A</t>
        </is>
      </c>
      <c r="D74" s="13" t="n">
        <v>78</v>
      </c>
      <c r="E74" s="18" t="inlineStr">
        <is>
          <t>Köln</t>
        </is>
      </c>
      <c r="F74" s="15" t="inlineStr">
        <is>
          <t>Deutschland</t>
        </is>
      </c>
      <c r="G74" s="15" t="inlineStr">
        <is>
          <t>VC (Familien-/Medienhaus-Hintergrund, inkl. Media-for-Equity)</t>
        </is>
      </c>
      <c r="H74" s="16" t="inlineStr">
        <is>
          <t>Pre-Seed, Seed und Series A (Schwerpunkt Seed; laut Drittdaten 23 Seed-, 13 Series-A- und 2 Series-B-Investments)</t>
        </is>
      </c>
      <c r="I74" s="15" t="inlineStr">
        <is>
          <t>Ja - regelmäßig Lead oder Co-Lead in Seed-Runden (durchschnittliche Rundengröße ca. 4,7 Mio. USD)</t>
        </is>
      </c>
      <c r="J74" s="16" t="inlineStr">
        <is>
          <t>Nicht offiziell ausgewiesen; typische Beteiligung im niedrigen einstelligen Millionenbereich abgeleitet aus Rundengrößen (offizielle Angabe: n/a)</t>
        </is>
      </c>
      <c r="K74" s="16" t="inlineStr">
        <is>
          <t>Mehrere Fonds; Digital-Health-Fonds mit erstem Closing bei 70 Mio. EUR (2020), Gesamt-AUM nicht öffentlich ausgewiesen</t>
        </is>
      </c>
      <c r="L74" s="15" t="inlineStr">
        <is>
          <t>Teilweise</t>
        </is>
      </c>
      <c r="M74" s="16" t="inlineStr">
        <is>
          <t>Emerging Technology mit Fokus auf B2B SaaS, Deep Tech und AI; Investment-Cluster Digital Health, Education, Industrial und Climate Tech. Zusätzlich exklusives Media-for-Equity-Programm über Handelsblatt, DIE ZEIT, WirtschaftsWoche, Tagesspiegel.</t>
        </is>
      </c>
      <c r="N74" s="16" t="inlineStr">
        <is>
          <t>LiveEO (Satelliten-/Geodaten-Analytics mit ML), Buynomics (Simulations-/Analytics-Software), Nect (KI-gestützte Identitätsverifikation)</t>
        </is>
      </c>
      <c r="O74" s="16" t="inlineStr">
        <is>
          <t>Mittel: B2B-SaaS/Deep-Tech/AI ist explizit These, und LiveEO arbeitet stark mit annotierten Geodaten. Ein direktes Labeling-/Annotation-Investment ist nicht belegt.</t>
        </is>
      </c>
      <c r="P74" s="16" t="inlineStr">
        <is>
          <t>-</t>
        </is>
      </c>
      <c r="Q74" s="16" t="inlineStr">
        <is>
          <t>Fabian von Trotha</t>
        </is>
      </c>
      <c r="R74" s="16" t="inlineStr">
        <is>
          <t>Managing Partner (weitere Partner: Peter Richarz, Managing Partner; Duc Quyen Tran, Partner)</t>
        </is>
      </c>
      <c r="S74" s="16" t="inlineStr">
        <is>
          <t>n/a</t>
        </is>
      </c>
      <c r="T74" s="16" t="inlineStr">
        <is>
          <t>contact@dvhventures.de ; Pitch-Formular: https://dvhventures.typeform.com/to/UvfdLtrf ; Telefon +49 221 933 1610</t>
        </is>
      </c>
      <c r="U74" s="16" t="inlineStr">
        <is>
          <t>DvH nennt B2B SaaS, Deep Tech und AI explizit als Fokus, investiert schwerpunktmäßig in deutsche Seed-Runden und stellt mit einem klar dokumentierten Pitch-Kanal einen niedrigschwelligen Zugang bereit. Das Media-for-Equity-Programm ist für ein Infrastruktur-B2B-Produkt allerdings nur begrenzt wertstiftend.</t>
        </is>
      </c>
      <c r="V74" s="16" t="inlineStr">
        <is>
          <t>Sektor-Cluster sind stark auf Digital Health, Education und Climate ausgerichtet - reine Data-Infrastruktur passt nicht ins Kern-Cluster. Keine belegten MLOps-/Labeling-Investments.</t>
        </is>
      </c>
      <c r="W74" s="16" t="inlineStr">
        <is>
          <t>Über das Typeform pitchen und PathWize an das Deep-Tech-/AI-Cluster andocken, mit LiveEO als Referenzfall für den Wert hochwertig annotierter Trainingsdaten.</t>
        </is>
      </c>
      <c r="X74" s="18" t="n">
        <v>27</v>
      </c>
      <c r="Y74" s="18" t="n">
        <v>21</v>
      </c>
      <c r="Z74" s="18" t="n">
        <v>12</v>
      </c>
      <c r="AA74" s="18" t="n">
        <v>8</v>
      </c>
      <c r="AB74" s="18" t="n">
        <v>10</v>
      </c>
      <c r="AC74" s="15" t="inlineStr">
        <is>
          <t>Mittel</t>
        </is>
      </c>
      <c r="AD74" s="15" t="inlineStr">
        <is>
          <t>Bestandsliste</t>
        </is>
      </c>
      <c r="AE74" s="16" t="inlineStr">
        <is>
          <t>https://dvhventures.de/</t>
        </is>
      </c>
      <c r="AF74" s="16" t="inlineStr">
        <is>
          <t>https://dvhventures.de/, https://dvhventures.de/about/, https://www.crunchbase.com/organization/dvh-ventures, https://tracxn.com/d/venture-capital/dieter-von-holtzbrinck-ventures/__e6P_rmp-2OXDCT3Kq1scdsHDz6HYCtuPxP_tbNkxjsg, https://www.linkedin.com/company/dieter-von-holtzbrinck-ventures-gmbh/</t>
        </is>
      </c>
    </row>
    <row r="75">
      <c r="A75" s="12" t="n">
        <v>71</v>
      </c>
      <c r="B75" s="14" t="inlineStr">
        <is>
          <t>Interface Capital</t>
        </is>
      </c>
      <c r="C75" s="13" t="inlineStr">
        <is>
          <t>A</t>
        </is>
      </c>
      <c r="D75" s="13" t="n">
        <v>78</v>
      </c>
      <c r="E75" s="15" t="inlineStr">
        <is>
          <t>Berlin</t>
        </is>
      </c>
      <c r="F75" s="15" t="inlineStr">
        <is>
          <t>Deutschland</t>
        </is>
      </c>
      <c r="G75" s="15" t="inlineStr">
        <is>
          <t>VC (Operator-Fonds)</t>
        </is>
      </c>
      <c r="H75" s="16" t="inlineStr">
        <is>
          <t>Pre-Seed &amp; Seed</t>
        </is>
      </c>
      <c r="I75" s="15" t="inlineStr">
        <is>
          <t>Selten Lead; typischerweise Co-Investor mit hoher operativer Beteiligung</t>
        </is>
      </c>
      <c r="J75" s="16" t="inlineStr">
        <is>
          <t>300 bis 500 Tsd. USD/EUR</t>
        </is>
      </c>
      <c r="K75" s="16" t="inlineStr">
        <is>
          <t>ca. 20 Mio. USD</t>
        </is>
      </c>
      <c r="L75" s="18" t="inlineStr">
        <is>
          <t>Ja</t>
        </is>
      </c>
      <c r="M75" s="16" t="inlineStr">
        <is>
          <t>'Fewer things, done well' - Operator-to-Operator-Ansatz, Software und Frontier Technology mit starkem Produktfokus; gegruendet 2022</t>
        </is>
      </c>
      <c r="N75" s="16" t="inlineStr">
        <is>
          <t>Browse AI (AI-Web-Datenextraktion), Lemni (AI-Agenten), Paretos (Decision Intelligence / ML-Optimierung), ARX Robotics, Akhetonics; Christian Reber persoenlich in Notion, Synthesia, Writer, Framer investiert</t>
        </is>
      </c>
      <c r="O75" s="16" t="inlineStr">
        <is>
          <t>Hoch - Browse AI und Paretos liegen direkt in der Daten-/ML-Pipeline-Nachbarschaft, Reber versteht Trainingsdaten aus seinen Synthesia-/Writer-Investments</t>
        </is>
      </c>
      <c r="P75" s="16" t="inlineStr">
        <is>
          <t>-</t>
        </is>
      </c>
      <c r="Q75" s="16" t="inlineStr">
        <is>
          <t>Christian Reber</t>
        </is>
      </c>
      <c r="R75" s="16" t="inlineStr">
        <is>
          <t>Co-Founder &amp; Partner (Gruender Wunderlist, Pitch, Superlist); Co-Founder Niklas Jansen (Blinkist)</t>
        </is>
      </c>
      <c r="S75" s="16" t="inlineStr">
        <is>
          <t>https://de.linkedin.com/in/christianreber</t>
        </is>
      </c>
      <c r="T75" s="16" t="inlineStr">
        <is>
          <t>hello@interfacecap.com</t>
        </is>
      </c>
      <c r="U75" s="16" t="inlineStr">
        <is>
          <t>Berliner Pre-Seed-Fonds mit klar AI-lastigem Portfolio (Browse AI, Lemni, Paretos) und Gruendern, die selbst AI-Produkte gebaut und in Synthesia/Writer investiert haben - inhaltlich sehr anschlussfaehig an Trainingsdaten. Der kleine 20-Mio.-Fonds mit 300-500k-Tickets kann eine Runde aber nicht allein tragen.</t>
        </is>
      </c>
      <c r="V75" s="16" t="inlineStr">
        <is>
          <t>Sehr kleiner Fonds (ca. 20 Mio. USD), Tickets zu klein fuer eine Lead-Position; bewusst wenige Deals pro Jahr ('fewer things, done well') - hohe Selektivitaet</t>
        </is>
      </c>
      <c r="W75" s="16" t="inlineStr">
        <is>
          <t>Ueber die Produktnaehe zu Browse AI und Paretos einsteigen und Interface als operativ mitarbeitenden Co-Investor neben einem groesseren Lead vorschlagen.</t>
        </is>
      </c>
      <c r="X75" s="18" t="n">
        <v>24</v>
      </c>
      <c r="Y75" s="18" t="n">
        <v>24</v>
      </c>
      <c r="Z75" s="18" t="n">
        <v>13</v>
      </c>
      <c r="AA75" s="18" t="n">
        <v>7</v>
      </c>
      <c r="AB75" s="18" t="n">
        <v>10</v>
      </c>
      <c r="AC75" s="15" t="inlineStr">
        <is>
          <t>Mittel</t>
        </is>
      </c>
      <c r="AD75" s="15" t="inlineStr">
        <is>
          <t>Bestandsliste</t>
        </is>
      </c>
      <c r="AE75" s="16" t="inlineStr">
        <is>
          <t>https://interfacecap.com/</t>
        </is>
      </c>
      <c r="AF75" s="16" t="inlineStr">
        <is>
          <t>https://interfacecap.com/, https://interfacecap.substack.com/about, https://interfacecap.com/imprint/, https://www.startbase.com/news/christian-reber-startet-eigenen-fonds/, https://superscout.co/investor/interface-capital</t>
        </is>
      </c>
    </row>
    <row r="76">
      <c r="A76" s="12" t="n">
        <v>72</v>
      </c>
      <c r="B76" s="14" t="inlineStr">
        <is>
          <t>Singular</t>
        </is>
      </c>
      <c r="C76" s="13" t="inlineStr">
        <is>
          <t>A</t>
        </is>
      </c>
      <c r="D76" s="13" t="n">
        <v>78</v>
      </c>
      <c r="E76" s="18" t="inlineStr">
        <is>
          <t>Paris</t>
        </is>
      </c>
      <c r="F76" s="18" t="inlineStr">
        <is>
          <t>FR</t>
        </is>
      </c>
      <c r="G76" s="18" t="inlineStr">
        <is>
          <t>VC</t>
        </is>
      </c>
      <c r="H76" s="16" t="inlineStr">
        <is>
          <t>Seed bis Series B, Schwerpunkt Series A</t>
        </is>
      </c>
      <c r="I76" s="15" t="inlineStr">
        <is>
          <t>Ja - fuehrt Series-A-Runden an</t>
        </is>
      </c>
      <c r="J76" s="16" t="inlineStr">
        <is>
          <t>1 - 25 Mio. EUR (breite Spanne ueber die Stages)</t>
        </is>
      </c>
      <c r="K76" s="16" t="inlineStr">
        <is>
          <t>Fund II 400 Mio. EUR / ca. 435 Mio. USD (Dez 2023); insgesamt ueber 600 Mio. EUR</t>
        </is>
      </c>
      <c r="L76" s="15" t="inlineStr">
        <is>
          <t>Teilweise</t>
        </is>
      </c>
      <c r="M76" s="16" t="inlineStr">
        <is>
          <t>Generalistischer europaeischer Fonds der Ex-Alven-Partner; Category Leaders in ueber 10 Laendern, technologiegetriebene Software</t>
        </is>
      </c>
      <c r="N76" s="16" t="inlineStr">
        <is>
          <t>Tinybird (Realtime-Data-Plattform / Analytics-API - echte Data-Infrastruktur), Osium AI (Materials AI), Continuum Industries</t>
        </is>
      </c>
      <c r="O76" s="16" t="inlineStr">
        <is>
          <t>Mittel - mit Tinybird ist ein reines Data-Infrastructure-Investment belegt, Annotation/Labeling selbst jedoch nicht abgedeckt</t>
        </is>
      </c>
      <c r="P76" s="16" t="inlineStr">
        <is>
          <t>Data-Infra-nah</t>
        </is>
      </c>
      <c r="Q76" s="16" t="inlineStr">
        <is>
          <t>Jeremy Uzan</t>
        </is>
      </c>
      <c r="R76" s="16" t="inlineStr">
        <is>
          <t>Co-Founder / General Partner (zweiter Co-Founder: Raffi Kamber)</t>
        </is>
      </c>
      <c r="S76" s="16" t="inlineStr">
        <is>
          <t>n/a</t>
        </is>
      </c>
      <c r="T76" s="16" t="inlineStr">
        <is>
          <t>Kontaktformular auf singular.vc; kein oeffentliches Pitch-Postfach belegbar</t>
        </is>
      </c>
      <c r="U76" s="16" t="inlineStr">
        <is>
          <t>400-Mio.-EUR-Fonds mit Series-A-Schwerpunkt und mit Tinybird einem belegten Data-Infrastructure-Lead; investiert pan-europaeisch in ueber zehn Laendern und damit auch im DACH-Raum.</t>
        </is>
      </c>
      <c r="V76" s="16" t="inlineStr">
        <is>
          <t>Fund II stammt aus Dez 2023 und duerfte im Investitionszyklus fortgeschritten sein; generalistische These ohne dedizierten AI/Data-Vertikal; Frankreich-Schwerpunkt, DACH nicht Kernmarkt</t>
        </is>
      </c>
      <c r="W76" s="16" t="inlineStr">
        <is>
          <t>Ueber Tinybird andocken: PathWize liefert die kuratierte Trainingsdatenschicht oberhalb der Realtime-Datenpipeline, mit demselben Infrastruktur-Playbook fuer Europa.</t>
        </is>
      </c>
      <c r="X76" s="18" t="n">
        <v>25</v>
      </c>
      <c r="Y76" s="18" t="n">
        <v>22</v>
      </c>
      <c r="Z76" s="18" t="n">
        <v>14</v>
      </c>
      <c r="AA76" s="18" t="n">
        <v>9</v>
      </c>
      <c r="AB76" s="18" t="n">
        <v>8</v>
      </c>
      <c r="AC76" s="15" t="inlineStr">
        <is>
          <t>Mittel</t>
        </is>
      </c>
      <c r="AD76" s="15" t="inlineStr">
        <is>
          <t>Bestandsliste</t>
        </is>
      </c>
      <c r="AE76" s="16" t="inlineStr">
        <is>
          <t>https://www.singular.vc/</t>
        </is>
      </c>
      <c r="AF76" s="16" t="inlineStr">
        <is>
          <t>https://techcrunch.com/2023/12/14/paris-based-vc-firm-singular-raises-435-million-for-its-second-fund/, https://techcrunch.com/2021/03/29/singular-is-a-new-paris-based-vc-firm-with-265-million/, https://superscout.co/investor/singular-ventures</t>
        </is>
      </c>
    </row>
    <row r="77">
      <c r="A77" s="12" t="n">
        <v>73</v>
      </c>
      <c r="B77" s="14" t="inlineStr">
        <is>
          <t>Join Capital</t>
        </is>
      </c>
      <c r="C77" s="13" t="inlineStr">
        <is>
          <t>A</t>
        </is>
      </c>
      <c r="D77" s="13" t="n">
        <v>77</v>
      </c>
      <c r="E77" s="15" t="inlineStr">
        <is>
          <t>Berlin (+ London, Mailand)</t>
        </is>
      </c>
      <c r="F77" s="18" t="inlineStr">
        <is>
          <t>DE</t>
        </is>
      </c>
      <c r="G77" s="15" t="inlineStr">
        <is>
          <t>VC (Deep Tech / Industrial &amp; Enterprise Tech)</t>
        </is>
      </c>
      <c r="H77" s="16" t="inlineStr">
        <is>
          <t>Pre-Seed bis Series A</t>
        </is>
      </c>
      <c r="I77" s="15" t="inlineStr">
        <is>
          <t>Ja - fuehrt Seed- und Series-A-Runden an</t>
        </is>
      </c>
      <c r="J77" s="16" t="inlineStr">
        <is>
          <t>n/a (nicht oeffentlich; typisch 1-5 Mio. EUR im Seed)</t>
        </is>
      </c>
      <c r="K77" s="16" t="inlineStr">
        <is>
          <t>Fund II: 112 Mio. EUR (aktuell im Deployment); NATO Innovation Fund als LP</t>
        </is>
      </c>
      <c r="L77" s="15" t="inlineStr">
        <is>
          <t>Teilweise</t>
        </is>
      </c>
      <c r="M77" s="16" t="inlineStr">
        <is>
          <t>Industrial und Enterprise Tech in Europa und NATO-aligned Regionen: neue Materialien, Fertigungsautomatisierung, Artificial Intelligence, Quantum, Space, Robotik, Enterprise Applications</t>
        </is>
      </c>
      <c r="N77" s="16" t="inlineStr">
        <is>
          <t>37 Companies mit Exits wie Valispace, Prodsmart und Codeship (Dev-Tools); AI ist gelistetes Thema, ein dediziertes Data-Infra-Investment ist nicht belegbar</t>
        </is>
      </c>
      <c r="O77" s="16" t="inlineStr">
        <is>
          <t>Mittel - AI und Enterprise Applications sind Teil des Mandats, der Schwerpunkt liegt aber auf Industrie- und Defence-naher Technologie</t>
        </is>
      </c>
      <c r="P77" s="16" t="inlineStr">
        <is>
          <t>Data-Infra-nah</t>
        </is>
      </c>
      <c r="Q77" s="16" t="inlineStr">
        <is>
          <t>Tobias P. Schirmer</t>
        </is>
      </c>
      <c r="R77" s="16" t="inlineStr">
        <is>
          <t>Managing Partner &amp; Co-Founder (weitere Co-Founder: Jan Borgstaedt, Sebastian v. Ribbentrop)</t>
        </is>
      </c>
      <c r="S77" s="16" t="inlineStr">
        <is>
          <t>n/a (Profil: https://signal.nfx.com/investors/tobias-p-schirmer)</t>
        </is>
      </c>
      <c r="T77" s="16" t="inlineStr">
        <is>
          <t>Kontakt ueber https://www.join.capital/; Berliner Buero</t>
        </is>
      </c>
      <c r="U77" s="16" t="inlineStr">
        <is>
          <t>Berliner Pre-Seed-bis-Series-A-Lead mit 112-Mio.-EUR-Fonds im Deployment und sechs Neuinvestments in zwoelf Monaten; AI steht im Mandat, der Schwerpunkt liegt jedoch auf Industrial und Defence Tech.</t>
        </is>
      </c>
      <c r="V77" s="16" t="inlineStr">
        <is>
          <t>Kein belegtes Data-Infra-/MLOps-/Annotation-Investment; NATO-Innovation-Fund-LP verschiebt den Fokus Richtung Defence und Dual-Use; Ticketgroessen nicht transparent</t>
        </is>
      </c>
      <c r="W77" s="16" t="inlineStr">
        <is>
          <t>Als Industrial-AI-Enabler pitchen: Labeling von Sensor-, Vision- und Fertigungsdaten inklusive Dual-Use-Faehigkeit fuer NATO-aligned Kunden.</t>
        </is>
      </c>
      <c r="X77" s="18" t="n">
        <v>28</v>
      </c>
      <c r="Y77" s="18" t="n">
        <v>21</v>
      </c>
      <c r="Z77" s="18" t="n">
        <v>9</v>
      </c>
      <c r="AA77" s="18" t="n">
        <v>9</v>
      </c>
      <c r="AB77" s="18" t="n">
        <v>10</v>
      </c>
      <c r="AC77" s="15" t="inlineStr">
        <is>
          <t>Mittel</t>
        </is>
      </c>
      <c r="AD77" s="15" t="inlineStr">
        <is>
          <t>Bestandsliste</t>
        </is>
      </c>
      <c r="AE77" s="16" t="inlineStr">
        <is>
          <t>https://www.join.capital/</t>
        </is>
      </c>
      <c r="AF77" s="16" t="inlineStr">
        <is>
          <t>https://www.join.capital/, https://www.vestbee.com/insights/articles/nif-invests-in-join-capital, https://tracxn.com/d/venture-capital/join-capital/__2jOk-t9EjgQqzeqZ7q2rQxa3_xp-kTLvwJz1OQgpHlA, https://www.crunchbase.com/organization/join-capital</t>
        </is>
      </c>
    </row>
    <row r="78">
      <c r="A78" s="12" t="n">
        <v>74</v>
      </c>
      <c r="B78" s="14" t="inlineStr">
        <is>
          <t>Playfair Capital</t>
        </is>
      </c>
      <c r="C78" s="13" t="inlineStr">
        <is>
          <t>A</t>
        </is>
      </c>
      <c r="D78" s="13" t="n">
        <v>76</v>
      </c>
      <c r="E78" s="15" t="inlineStr">
        <is>
          <t>London</t>
        </is>
      </c>
      <c r="F78" s="15" t="inlineStr">
        <is>
          <t>Vereinigtes Königreich</t>
        </is>
      </c>
      <c r="G78" s="15" t="inlineStr">
        <is>
          <t>VC (unabhängig, reiner Pre-Seed-Fonds)</t>
        </is>
      </c>
      <c r="H78" s="16" t="inlineStr">
        <is>
          <t>Ausschließlich Pre-Seed (UK und Europa), mit Follow-on bis Series A</t>
        </is>
      </c>
      <c r="I78" s="15" t="inlineStr">
        <is>
          <t>Ja - typischer Pre-Seed-Lead, ko-investiert bei 100 % der Neuinvestments</t>
        </is>
      </c>
      <c r="J78" s="16" t="inlineStr">
        <is>
          <t>100 TGBP - 1,5 Mio. GBP Erstticket; bis 5 Mio. GBP pro Unternehmen inklusive Follow-ons</t>
        </is>
      </c>
      <c r="K78" s="16" t="inlineStr">
        <is>
          <t>57 Mio. GBP (Fonds III); 60 % des Fonds für Follow-ons reserviert</t>
        </is>
      </c>
      <c r="L78" s="15" t="inlineStr">
        <is>
          <t>Teilweise</t>
        </is>
      </c>
      <c r="M78" s="16" t="inlineStr">
        <is>
          <t>Sektoragnostischer, thesenoffener Pre-Seed-Investor mit starkem Deep-Tech- und AI-Einschlag; investiert in 'visionäre Gründer mit Hustle, Heart und Humility'. Rund 6 Investments pro Jahr, hohe Selektivität.</t>
        </is>
      </c>
      <c r="N78" s="16" t="inlineStr">
        <is>
          <t>Recycleye (Computer Vision für Abfallsortierung - stark annotationsabhängig), StackOne (Integrations-Infrastruktur), Orca, Protex, Nory. Explizite Data-Infrastruktur-These ist auf der Website nicht ausgewiesen.</t>
        </is>
      </c>
      <c r="O78" s="16" t="inlineStr">
        <is>
          <t>Mittel bis hoch. Als reiner Pre-Seed-Fonds mit Computer-Vision- und Infrastruktur-Investments grundsätzlich anschlussfähig, aber ohne dedizierte Data-Layer-These.</t>
        </is>
      </c>
      <c r="P78" s="16" t="inlineStr">
        <is>
          <t>Data-Infra-nah</t>
        </is>
      </c>
      <c r="Q78" s="16" t="inlineStr">
        <is>
          <t>Chris Smith</t>
        </is>
      </c>
      <c r="R78" s="16" t="inlineStr">
        <is>
          <t>Managing Partner (nicht in dieser Recherche über die Website verifiziert)</t>
        </is>
      </c>
      <c r="S78" s="16" t="inlineStr">
        <is>
          <t>n/a</t>
        </is>
      </c>
      <c r="T78" s="16" t="inlineStr">
        <is>
          <t>Pitch-Formular unter https://playfair.vc/pitch-us</t>
        </is>
      </c>
      <c r="U78" s="16" t="inlineStr">
        <is>
          <t>Perfekte Stage-Passung: einer der wenigen reinen Pre-Seed-Leads Europas mit ausgewiesen hoher Series-A-Graduierungsquote (78 %) und großzügigen Follow-on-Reserven. Deep-Tech-affin und mit Recycleye ein direkt annotationsabhängiges Computer-Vision-Investment.</t>
        </is>
      </c>
      <c r="V78" s="16" t="inlineStr">
        <is>
          <t>Nur rund 6 Neuinvestments pro Jahr - extrem niedrige Trefferwahrscheinlichkeit. Kleiner Fonds (57 Mio. GBP) und UK-Schwerpunkt; kontinentaleuropäische bzw. DACH-Deals sind seltener. Keine spezialisierte Data-Infra-Kompetenz im Team belegbar.</t>
        </is>
      </c>
      <c r="W78" s="16" t="inlineStr">
        <is>
          <t>Direkte Bewerbung über das Pitch-Formular (Playfair ist ausdrücklich offen für Cold Inbound). Aufhänger: Recycleye als Beleg dafür, dass Playfair Datenannotationsabhängigkeit versteht - PathWize als Infrastruktur hinter genau solchen Vision-Startups positionieren.</t>
        </is>
      </c>
      <c r="X78" s="18" t="n">
        <v>28</v>
      </c>
      <c r="Y78" s="18" t="n">
        <v>20</v>
      </c>
      <c r="Z78" s="18" t="n">
        <v>12</v>
      </c>
      <c r="AA78" s="18" t="n">
        <v>9</v>
      </c>
      <c r="AB78" s="18" t="n">
        <v>7</v>
      </c>
      <c r="AC78" s="18" t="inlineStr">
        <is>
          <t>Hoch</t>
        </is>
      </c>
      <c r="AD78" s="15" t="inlineStr">
        <is>
          <t>NEU – Recherche-Ergaenzung</t>
        </is>
      </c>
      <c r="AE78" s="16" t="inlineStr">
        <is>
          <t>https://playfair.vc/</t>
        </is>
      </c>
      <c r="AF78" s="16" t="inlineStr">
        <is>
          <t>https://playfair.vc/</t>
        </is>
      </c>
    </row>
    <row r="79">
      <c r="A79" s="12" t="n">
        <v>75</v>
      </c>
      <c r="B79" s="14" t="inlineStr">
        <is>
          <t>WENVEST CAPITAL</t>
        </is>
      </c>
      <c r="C79" s="13" t="inlineStr">
        <is>
          <t>A</t>
        </is>
      </c>
      <c r="D79" s="13" t="n">
        <v>76</v>
      </c>
      <c r="E79" s="15" t="inlineStr">
        <is>
          <t>München</t>
        </is>
      </c>
      <c r="F79" s="15" t="inlineStr">
        <is>
          <t>Deutschland</t>
        </is>
      </c>
      <c r="G79" s="15" t="inlineStr">
        <is>
          <t>VC (Family-Office-Ursprung, WEGA Invest)</t>
        </is>
      </c>
      <c r="H79" s="16" t="inlineStr">
        <is>
          <t>Pre-Seed und Seed; opportunistisch Series A</t>
        </is>
      </c>
      <c r="I79" s="15" t="inlineStr">
        <is>
          <t>Teilweise – tritt bei Pre-Seed/Seed als Lead oder Co-Lead auf</t>
        </is>
      </c>
      <c r="J79" s="16" t="inlineStr">
        <is>
          <t>250.000 – 1 Mio. EUR Initial-Ticket</t>
        </is>
      </c>
      <c r="K79" s="16" t="inlineStr">
        <is>
          <t>n/a (nicht offengelegt)</t>
        </is>
      </c>
      <c r="L79" s="15" t="inlineStr">
        <is>
          <t>Teilweise</t>
        </is>
      </c>
      <c r="M79" s="16" t="inlineStr">
        <is>
          <t>Explizit Early-Stage B2B-Software und SaaS in DACH; thematische Schwerpunkte digitale Transformation, Digital Health und Climate Solutions; 'patient, pragmatic capital'</t>
        </is>
      </c>
      <c r="N79" s="16" t="inlineStr">
        <is>
          <t>n/a im Detail belegbar – Portfolio ist durchgängig B2B-Software/SaaS, ein dediziertes Data-Infra-/MLOps-Investment ist nicht öffentlich belegt</t>
        </is>
      </c>
      <c r="O79" s="16" t="inlineStr">
        <is>
          <t>Mittel-hoch – die reine B2B-Software-These und der DACH-Pre-Seed-Fokus passen strukturell sehr gut, der AI-/Data-Infra-Beleg fehlt aber noch</t>
        </is>
      </c>
      <c r="P79" s="16" t="inlineStr">
        <is>
          <t>Data-Infra-nah</t>
        </is>
      </c>
      <c r="Q79" s="16" t="inlineStr">
        <is>
          <t>Bernd Wendeln</t>
        </is>
      </c>
      <c r="R79" s="16" t="inlineStr">
        <is>
          <t>Managing Partner (Co-Founder WEGA Invest und BonVenture); weitere: Christophe Aumaître (Partner), Dr. Tom Orben (Investment Manager)</t>
        </is>
      </c>
      <c r="S79" s="16" t="inlineStr">
        <is>
          <t>n/a (Firmenprofil: https://www.linkedin.com/company/wenvestcapital/)</t>
        </is>
      </c>
      <c r="T79" s="16" t="inlineStr">
        <is>
          <t>deals@wenvest.capital (Deal-Submissions), info@wenvest.capital; Pitch-Formular via Airtable auf wenvest.capital</t>
        </is>
      </c>
      <c r="U79" s="16" t="inlineStr">
        <is>
          <t>Reinrassiger Pre-Seed-/Seed-Investor für B2B-Software in DACH mit passender Ticketgröße (250 TEUR–1 Mio. EUR) und offenem Deal-Kanal. Der AI-/Data-Infrastruktur-Track-Record ist allerdings nicht öffentlich belegt.</t>
        </is>
      </c>
      <c r="V79" s="16" t="inlineStr">
        <is>
          <t>Kein belegtes AI-/Data-Infra-Investment; Fondsgröße intransparent; Nebenschwerpunkte Digital Health und Climate binden Kapazität</t>
        </is>
      </c>
      <c r="W79" s="16" t="inlineStr">
        <is>
          <t>Direkt an deals@wenvest.capital mit dem B2B-Software-Framing: PathWize als Infrastruktur-SaaS, das den Daten-Engpass jeder AI-Einführung im deutschen Mittelstand löst.</t>
        </is>
      </c>
      <c r="X79" s="18" t="n">
        <v>27</v>
      </c>
      <c r="Y79" s="18" t="n">
        <v>24</v>
      </c>
      <c r="Z79" s="18" t="n">
        <v>8</v>
      </c>
      <c r="AA79" s="18" t="n">
        <v>7</v>
      </c>
      <c r="AB79" s="18" t="n">
        <v>10</v>
      </c>
      <c r="AC79" s="15" t="inlineStr">
        <is>
          <t>Mittel</t>
        </is>
      </c>
      <c r="AD79" s="15" t="inlineStr">
        <is>
          <t>Bestandsliste</t>
        </is>
      </c>
      <c r="AE79" s="16" t="inlineStr">
        <is>
          <t>https://www.wenvest.capital/</t>
        </is>
      </c>
      <c r="AF79" s="16" t="inlineStr">
        <is>
          <t>https://www.wenvest.capital/, https://www.wenvest.capital/team, https://vc-mapping.gilion.com/vc-firms/wenvest-capital, https://www.startbase.com/organization/wenvest-capital/</t>
        </is>
      </c>
    </row>
    <row r="80">
      <c r="A80" s="12" t="n">
        <v>76</v>
      </c>
      <c r="B80" s="14" t="inlineStr">
        <is>
          <t>Iris Capital (IRIS)</t>
        </is>
      </c>
      <c r="C80" s="13" t="inlineStr">
        <is>
          <t>A</t>
        </is>
      </c>
      <c r="D80" s="13" t="n">
        <v>75</v>
      </c>
      <c r="E80" s="15" t="inlineStr">
        <is>
          <t>Paris (Bueros u.a. Berlin, Muenchen, San Francisco, Tel Aviv, Tokio, Dubai)</t>
        </is>
      </c>
      <c r="F80" s="15" t="inlineStr">
        <is>
          <t>Frankreich (aktive DACH-Praesenz)</t>
        </is>
      </c>
      <c r="G80" s="15" t="inlineStr">
        <is>
          <t>VC (paneuropaeisch, Early Stage + Growth)</t>
        </is>
      </c>
      <c r="H80" s="16" t="inlineStr">
        <is>
          <t>Ab erster institutioneller Runde (kein Pre-Seed), Schwerpunkt Series A und Series B; separater Late-Stage-Fonds</t>
        </is>
      </c>
      <c r="I80" s="15" t="inlineStr">
        <is>
          <t>Ja, fuehrt Series-A-Runden regelmaessig an</t>
        </is>
      </c>
      <c r="J80" s="16" t="inlineStr">
        <is>
          <t>Early Stage 1 - 10 Mio. EUR Erstticket; Late-Stage-Fonds bis 40 Mio. EUR</t>
        </is>
      </c>
      <c r="K80" s="16" t="inlineStr">
        <is>
          <t>neuer Early-Stage-Fonds ca. 150 Mio. EUR; Gesamt-AUM im Milliardenbereich, Firma seit 1986 aktiv</t>
        </is>
      </c>
      <c r="L80" s="18" t="inlineStr">
        <is>
          <t>Ja</t>
        </is>
      </c>
      <c r="M80" s="16" t="inlineStr">
        <is>
          <t>Digitale Technologien in Europa: AI, Deep Tech, Industrie 4.0, B2B-Software, Marktplaetze, B2B-Netzwerke, Fintech, Cybersecurity.</t>
        </is>
      </c>
      <c r="N80" s="16" t="inlineStr">
        <is>
          <t>Armis (Cybersecurity/Asset-Intelligence), Exotec (Robotik), Spinergie (Datenanalytik), Talon.One, Shift; Managing Partner mit erklaertem Fokus auf AI und Deep Tech.</t>
        </is>
      </c>
      <c r="O80" s="16" t="inlineStr">
        <is>
          <t>Mittel-hoch: erklaerter AI-/Deep-Tech-Fokus und robotik-/computer-vision-nahe Beteiligungen, aber kein belegtes Investment in Labeling- oder MLOps-Infrastruktur.</t>
        </is>
      </c>
      <c r="P80" s="16" t="inlineStr">
        <is>
          <t>-</t>
        </is>
      </c>
      <c r="Q80" s="16" t="inlineStr">
        <is>
          <t>Thorben Rothe (DACH) bzw. Julien-David Nitlech (AI/Deep Tech)</t>
        </is>
      </c>
      <c r="R80" s="16" t="inlineStr">
        <is>
          <t>Thorben Rothe: Partner Venture, Berlin, Fokus Early Stage DACH, B2B-Software und Marktplaetze. Julien-David Nitlech: Managing Partner, verantwortet Early Stage Frankreich/Deutschland mit Fokus AI, Deep Tech, Industrie 4.0. Jakob Banhardt: Principal Venture, Berlin, Fokus AI/SaaS DACH.</t>
        </is>
      </c>
      <c r="S80" s="16" t="inlineStr">
        <is>
          <t>n/a</t>
        </is>
      </c>
      <c r="T80" s="16" t="inlineStr">
        <is>
          <t>Kontaktformular auf iris.vc; E-Mail n/a</t>
        </is>
      </c>
      <c r="U80" s="16" t="inlineStr">
        <is>
          <t>Paneuropaeischer Fonds mit frischem 150-Mio.-EUR-Early-Stage-Vehikel, dediziertem Berliner DACH-Team und explizitem AI-/Deep-Tech-Mandat auf Managing-Partner-Ebene.</t>
        </is>
      </c>
      <c r="V80" s="16" t="inlineStr">
        <is>
          <t>Kein Pre-Seed - erst ab erster institutioneller Runde mit Product-Market-Fit-Signalen; Ticket ab 1 Mio. EUR setzt entsprechende Runde voraus; Entscheidungszentrum in Paris.</t>
        </is>
      </c>
      <c r="W80" s="16" t="inlineStr">
        <is>
          <t>Ueber Jakob Banhardt oder Thorben Rothe im Berliner Buero ansprechen, mit PathWize als DACH-Play auf Julien-David Nitlechs AI-/Industrie-4.0-These: annotierte Trainingsdaten fuer europaeische Industrie- und Robotik-Modelle.</t>
        </is>
      </c>
      <c r="X80" s="18" t="n">
        <v>23</v>
      </c>
      <c r="Y80" s="18" t="n">
        <v>22</v>
      </c>
      <c r="Z80" s="18" t="n">
        <v>11</v>
      </c>
      <c r="AA80" s="18" t="n">
        <v>9</v>
      </c>
      <c r="AB80" s="18" t="n">
        <v>10</v>
      </c>
      <c r="AC80" s="15" t="inlineStr">
        <is>
          <t>Mittel</t>
        </is>
      </c>
      <c r="AD80" s="15" t="inlineStr">
        <is>
          <t>Bestandsliste</t>
        </is>
      </c>
      <c r="AE80" s="16" t="inlineStr">
        <is>
          <t>https://www.iris.vc/</t>
        </is>
      </c>
      <c r="AF80" s="16" t="inlineStr">
        <is>
          <t>https://www.iris.vc/, https://www.iris.vc/team, https://www.iris.vc/articles/iris-raises-a-new-eu150m-early-stage-fund, https://hub.waveup.com/funds/iris-capital, https://en.wikipedia.org/wiki/Iris_Capital</t>
        </is>
      </c>
    </row>
  </sheetData>
  <autoFilter ref="A4:AF80"/>
  <mergeCells count="2">
    <mergeCell ref="A1:AF1"/>
    <mergeCell ref="A2:AF2"/>
  </mergeCells>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AF4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6" customWidth="1" min="3" max="3"/>
    <col width="7" customWidth="1" min="4" max="4"/>
    <col width="14" customWidth="1" min="5" max="5"/>
    <col width="7" customWidth="1" min="6" max="6"/>
    <col width="14" customWidth="1" min="7" max="7"/>
    <col width="22" customWidth="1" min="8" max="8"/>
    <col width="12" customWidth="1" min="9" max="9"/>
    <col width="20" customWidth="1" min="10" max="10"/>
    <col width="24" customWidth="1" min="11" max="11"/>
    <col width="12" customWidth="1" min="12" max="12"/>
    <col width="42" customWidth="1" min="13" max="13"/>
    <col width="40" customWidth="1" min="14" max="14"/>
    <col width="34" customWidth="1" min="15" max="15"/>
    <col width="32" customWidth="1" min="16" max="16"/>
    <col width="22" customWidth="1" min="17" max="17"/>
    <col width="20" customWidth="1" min="18" max="18"/>
    <col width="30" customWidth="1" min="19" max="19"/>
    <col width="30" customWidth="1" min="20" max="20"/>
    <col width="48" customWidth="1" min="21" max="21"/>
    <col width="34" customWidth="1" min="22" max="22"/>
    <col width="46" customWidth="1" min="23" max="23"/>
    <col width="9" customWidth="1" min="24" max="24"/>
    <col width="9" customWidth="1" min="25" max="25"/>
    <col width="11" customWidth="1" min="26" max="26"/>
    <col width="11" customWidth="1" min="27" max="27"/>
    <col width="9" customWidth="1" min="28" max="28"/>
    <col width="11" customWidth="1" min="29" max="29"/>
    <col width="20" customWidth="1" min="30" max="30"/>
    <col width="28" customWidth="1" min="31" max="31"/>
    <col width="46" customWidth="1" min="32" max="32"/>
  </cols>
  <sheetData>
    <row r="1" ht="28" customHeight="1">
      <c r="A1" s="1" t="inlineStr">
        <is>
          <t>Tier B – solider Fit (Score 60–74)</t>
        </is>
      </c>
    </row>
    <row r="2" ht="18" customHeight="1">
      <c r="A2" s="2" t="inlineStr">
        <is>
          <t>Guter Fit, ein Kriterium schwaecher. Zweite Outreach-Welle.</t>
        </is>
      </c>
    </row>
    <row r="4" ht="34" customHeight="1">
      <c r="A4" s="11" t="inlineStr">
        <is>
          <t>Rang</t>
        </is>
      </c>
      <c r="B4" s="11" t="inlineStr">
        <is>
          <t>VC / Fonds</t>
        </is>
      </c>
      <c r="C4" s="11" t="inlineStr">
        <is>
          <t>Tier</t>
        </is>
      </c>
      <c r="D4" s="11" t="inlineStr">
        <is>
          <t>Score</t>
        </is>
      </c>
      <c r="E4" s="11" t="inlineStr">
        <is>
          <t>Stadt</t>
        </is>
      </c>
      <c r="F4" s="11" t="inlineStr">
        <is>
          <t>Land</t>
        </is>
      </c>
      <c r="G4" s="11" t="inlineStr">
        <is>
          <t>Typ</t>
        </is>
      </c>
      <c r="H4" s="11" t="inlineStr">
        <is>
          <t>Stage-Fokus</t>
        </is>
      </c>
      <c r="I4" s="11" t="inlineStr">
        <is>
          <t>Leads Runden?</t>
        </is>
      </c>
      <c r="J4" s="11" t="inlineStr">
        <is>
          <t>Ticket-Size</t>
        </is>
      </c>
      <c r="K4" s="11" t="inlineStr">
        <is>
          <t>Fondsgroesse / AUM</t>
        </is>
      </c>
      <c r="L4" s="11" t="inlineStr">
        <is>
          <t>AI/Data-Fokus</t>
        </is>
      </c>
      <c r="M4" s="11" t="inlineStr">
        <is>
          <t>Sektor-These</t>
        </is>
      </c>
      <c r="N4" s="11" t="inlineStr">
        <is>
          <t>Portfolio AI / Data-Infra</t>
        </is>
      </c>
      <c r="O4" s="11" t="inlineStr">
        <is>
          <t>Data-Labeling-Relevanz</t>
        </is>
      </c>
      <c r="P4" s="11" t="inlineStr">
        <is>
          <t>Labeling-Signal</t>
        </is>
      </c>
      <c r="Q4" s="11" t="inlineStr">
        <is>
          <t>Relevanter Partner</t>
        </is>
      </c>
      <c r="R4" s="11" t="inlineStr">
        <is>
          <t>Rolle</t>
        </is>
      </c>
      <c r="S4" s="11" t="inlineStr">
        <is>
          <t>LinkedIn</t>
        </is>
      </c>
      <c r="T4" s="11" t="inlineStr">
        <is>
          <t>Kontakt</t>
        </is>
      </c>
      <c r="U4" s="11" t="inlineStr">
        <is>
          <t>Fit-Begruendung</t>
        </is>
      </c>
      <c r="V4" s="11" t="inlineStr">
        <is>
          <t>Red Flags</t>
        </is>
      </c>
      <c r="W4" s="11" t="inlineStr">
        <is>
          <t>Outreach-Angle</t>
        </is>
      </c>
      <c r="X4" s="11" t="inlineStr">
        <is>
          <t>Stage (30)</t>
        </is>
      </c>
      <c r="Y4" s="11" t="inlineStr">
        <is>
          <t>These (30)</t>
        </is>
      </c>
      <c r="Z4" s="11" t="inlineStr">
        <is>
          <t>Portfolio (20)</t>
        </is>
      </c>
      <c r="AA4" s="11" t="inlineStr">
        <is>
          <t>Aktivitaet (10)</t>
        </is>
      </c>
      <c r="AB4" s="11" t="inlineStr">
        <is>
          <t>Geo (10)</t>
        </is>
      </c>
      <c r="AC4" s="11" t="inlineStr">
        <is>
          <t>Konfidenz</t>
        </is>
      </c>
      <c r="AD4" s="11" t="inlineStr">
        <is>
          <t>Herkunft</t>
        </is>
      </c>
      <c r="AE4" s="11" t="inlineStr">
        <is>
          <t>Website</t>
        </is>
      </c>
      <c r="AF4" s="11" t="inlineStr">
        <is>
          <t>Quellen</t>
        </is>
      </c>
    </row>
    <row r="5">
      <c r="A5" s="22" t="n">
        <v>1</v>
      </c>
      <c r="B5" s="23" t="inlineStr">
        <is>
          <t>Alstin Capital</t>
        </is>
      </c>
      <c r="C5" s="20" t="inlineStr">
        <is>
          <t>B</t>
        </is>
      </c>
      <c r="D5" s="20" t="n">
        <v>74</v>
      </c>
      <c r="E5" s="15" t="inlineStr">
        <is>
          <t>Muenchen</t>
        </is>
      </c>
      <c r="F5" s="15" t="inlineStr">
        <is>
          <t>Deutschland</t>
        </is>
      </c>
      <c r="G5" s="15" t="inlineStr">
        <is>
          <t>VC (Early Stage / Series A, B2B-Software)</t>
        </is>
      </c>
      <c r="H5" s="16" t="inlineStr">
        <is>
          <t>Late Seed / Series A</t>
        </is>
      </c>
      <c r="I5" s="15" t="inlineStr">
        <is>
          <t>Ja (explizit Lead-Investor, z.B. bei ANCLA Logistik, NORBr)</t>
        </is>
      </c>
      <c r="J5" s="16" t="inlineStr">
        <is>
          <t>EUR 2-8 Mio. Initial Investment (Fonds-III-Kommunikation: EUR 2-7 Mio.)</t>
        </is>
      </c>
      <c r="K5" s="16" t="inlineStr">
        <is>
          <t>Alstin III: EUR 175 Mio. (Final Close Dez. 2024, ueberzeichnet); LPs: Stiftungen, Versicherungen, Banken, Family Offices</t>
        </is>
      </c>
      <c r="L5" s="15" t="inlineStr">
        <is>
          <t>Teilweise</t>
        </is>
      </c>
      <c r="M5" s="16" t="inlineStr">
        <is>
          <t>B2B-Software in Europa mit DACH-Schwerpunkt; Sektoren FinTech, InsurTech, RegTech, Cyber Security, ClimateTech 'und andere'. Gegruendet 2018 von Carsten Maschmeyer.</t>
        </is>
      </c>
      <c r="N5" s="16" t="inlineStr">
        <is>
          <t>Etalytics (AI-basiertes Energiemanagement fuer Rechenzentren), Nect (AI-gestuetzte Identitaetsverifikation), FLOWIT (AI-HR-Analytics), Usercentrics, Alyne (Exit, Risk/Compliance-SaaS), Circula, Pliant, retraced</t>
        </is>
      </c>
      <c r="O5" s="16" t="inlineStr">
        <is>
          <t>Mittel: klare B2B-Software-These und AI-Anwendungen im Portfolio, aber kein Data-Infrastruktur-/MLOps-Schwerpunkt und keine Labeling-Investments.</t>
        </is>
      </c>
      <c r="P5" s="16" t="inlineStr">
        <is>
          <t>-</t>
        </is>
      </c>
      <c r="Q5" s="16" t="inlineStr">
        <is>
          <t>Carsten Maschmeyer</t>
        </is>
      </c>
      <c r="R5" s="16" t="inlineStr">
        <is>
          <t>Gruender von Alstin Capital</t>
        </is>
      </c>
      <c r="S5" s="16" t="inlineStr">
        <is>
          <t>n/a</t>
        </is>
      </c>
      <c r="T5" s="16" t="inlineStr">
        <is>
          <t>Pitch-Deck-Formular auf https://www.alstin.de (Bereich 'Send Pitch Deck'), Kontaktseite https://www.alstin.de/contact</t>
        </is>
      </c>
      <c r="U5" s="16" t="inlineStr">
        <is>
          <t>Frischer EUR-175-Mio.-Fonds mit expliziter B2B-Software-These und DACH-Fokus, der Runden anfuehrt - allerdings erst ab Late Seed/Series A und ohne Data-Infra-/MLOps-Track-Record.</t>
        </is>
      </c>
      <c r="V5" s="16" t="inlineStr">
        <is>
          <t>Kein echtes Pre-Seed/Seed (Einstieg ab Late Seed, Ticket EUR 2-8 Mio. = hohe Traktionsanforderung); Sektorliste ist FinTech/InsurTech/RegTech-lastig; AI nicht als eigene These ausgewiesen.</t>
        </is>
      </c>
      <c r="W5" s="16" t="inlineStr">
        <is>
          <t>Als skalierbares B2B-Software-Geschaeft mit wiederkehrenden Umsaetzen ansprechen, sobald PathWize Series-A-Traktion (ARR) zeigt - Bruecke ueber Etalytics/Nect als AI-Cases im Portfolio.</t>
        </is>
      </c>
      <c r="X5" s="18" t="n">
        <v>22</v>
      </c>
      <c r="Y5" s="18" t="n">
        <v>21</v>
      </c>
      <c r="Z5" s="18" t="n">
        <v>11</v>
      </c>
      <c r="AA5" s="18" t="n">
        <v>10</v>
      </c>
      <c r="AB5" s="18" t="n">
        <v>10</v>
      </c>
      <c r="AC5" s="18" t="inlineStr">
        <is>
          <t>Hoch</t>
        </is>
      </c>
      <c r="AD5" s="15" t="inlineStr">
        <is>
          <t>Bestandsliste</t>
        </is>
      </c>
      <c r="AE5" s="16" t="inlineStr">
        <is>
          <t>https://www.alstin.de</t>
        </is>
      </c>
      <c r="AF5" s="16" t="inlineStr">
        <is>
          <t>https://www.alstin.de, https://www.eu-startups.com/2024/12/munich-based-alstin-capital-raises-e175-million-for-alstin-iii-fund-to-fuel-european-b2b-software-growth/, https://tech.eu/2024/12/02/alstin-fund-secures-175m-for-series-a-b2b-saas/</t>
        </is>
      </c>
    </row>
    <row r="6">
      <c r="A6" s="22" t="n">
        <v>2</v>
      </c>
      <c r="B6" s="23" t="inlineStr">
        <is>
          <t>byFounders</t>
        </is>
      </c>
      <c r="C6" s="20" t="inlineStr">
        <is>
          <t>B</t>
        </is>
      </c>
      <c r="D6" s="20" t="n">
        <v>74</v>
      </c>
      <c r="E6" s="15" t="inlineStr">
        <is>
          <t>Kopenhagen (+ Stockholm)</t>
        </is>
      </c>
      <c r="F6" s="15" t="inlineStr">
        <is>
          <t>Daenemark</t>
        </is>
      </c>
      <c r="G6" s="15" t="inlineStr">
        <is>
          <t>VC (community-powered, Pre-Seed/Seed)</t>
        </is>
      </c>
      <c r="H6" s="16" t="inlineStr">
        <is>
          <t>Pre-Seed und Seed</t>
        </is>
      </c>
      <c r="I6" s="15" t="inlineStr">
        <is>
          <t>Ja - fuehrt Pre-Seed-/Seed-Runden an, Ziel 15-18% Ownership</t>
        </is>
      </c>
      <c r="J6" s="16" t="inlineStr">
        <is>
          <t>500 Tsd. - 4 Mio. EUR Erstticket</t>
        </is>
      </c>
      <c r="K6" s="16" t="inlineStr">
        <is>
          <t>Fund III: 130+ Mio. EUR (oversubscribed, 2026); ca. 35 Unternehmen pro Fonds</t>
        </is>
      </c>
      <c r="L6" s="15" t="inlineStr">
        <is>
          <t>Teilweise</t>
        </is>
      </c>
      <c r="M6" s="16" t="inlineStr">
        <is>
          <t>'New Nordics' (Nordics + Baltics): global ambitionierte, impact-bewusste Gruender mit starkem AI-Tilt; daneben Deeptech, Healthtech, Fintech, Consumer; unterstuetzt vom byFounders Collective (40+ Gruender/Operators)</t>
        </is>
      </c>
      <c r="N6" s="16" t="inlineStr">
        <is>
          <t>Lovable ('der AI Software Engineer'), Verda (erster europaeischer Hyperscaler fuer AI-Compute, Finnland), Corti (Health-AI), Monta, Flare</t>
        </is>
      </c>
      <c r="O6" s="16" t="inlineStr">
        <is>
          <t>Gering: Portfolio ist AI-Anwendungsschicht plus Compute-Infrastruktur, kein Data-Infra-, MLOps- oder Labeling-Investment belegbar</t>
        </is>
      </c>
      <c r="P6" s="16" t="inlineStr">
        <is>
          <t>-</t>
        </is>
      </c>
      <c r="Q6" s="16" t="inlineStr">
        <is>
          <t>Sara Rywe</t>
        </is>
      </c>
      <c r="R6" s="16" t="inlineStr">
        <is>
          <t>Managing Partner; weitere: Eric Lagier (Managing Partner), Magnus Hambleton (Partner)</t>
        </is>
      </c>
      <c r="S6" s="16" t="inlineStr">
        <is>
          <t>n/a</t>
        </is>
      </c>
      <c r="T6" s="16" t="inlineStr">
        <is>
          <t>Kein oeffentliches Pitch-Formular auf der Website; Kontakt ueber byfounders.vc bzw. Bueros Kopenhagen und Stockholm</t>
        </is>
      </c>
      <c r="U6" s="16" t="inlineStr">
        <is>
          <t>Perfekte Stage und Ticketgroesse aus einem brandneuen 130-Mio.-EUR-Fonds mit klarem AI-Tilt, aber byFounders verlangt einen Bezug zu den 'New Nordics' (Nordics/Baltics) und hat kein Data-Infrastruktur- oder Labeling-Buch.</t>
        </is>
      </c>
      <c r="V6" s="16" t="inlineStr">
        <is>
          <t>Harte Geo-Anforderung Nordics/Baltics - ein rein deutsches Team faellt in der Regel aus dem Mandat; breite Sektorstreuung inkl. Consumer und Impact; kein oeffentlicher Pitch-Kanal, Zugang laeuft ueber das Collective</t>
        </is>
      </c>
      <c r="W6" s="16" t="inlineStr">
        <is>
          <t>Nur mit nordischem Anker (Baltisches Delivery-Team, nordischer Kunde oder Collective-Kontakt) - dann als Trainingsdaten-Layer zu Verdas europaeischer AI-Compute-Infrastruktur positionieren.</t>
        </is>
      </c>
      <c r="X6" s="18" t="n">
        <v>30</v>
      </c>
      <c r="Y6" s="18" t="n">
        <v>20</v>
      </c>
      <c r="Z6" s="18" t="n">
        <v>11</v>
      </c>
      <c r="AA6" s="18" t="n">
        <v>10</v>
      </c>
      <c r="AB6" s="18" t="n">
        <v>3</v>
      </c>
      <c r="AC6" s="15" t="inlineStr">
        <is>
          <t>Mittel</t>
        </is>
      </c>
      <c r="AD6" s="15" t="inlineStr">
        <is>
          <t>Bestandsliste</t>
        </is>
      </c>
      <c r="AE6" s="16" t="inlineStr">
        <is>
          <t>https://byfounders.vc/</t>
        </is>
      </c>
      <c r="AF6" s="16" t="inlineStr">
        <is>
          <t>https://byfounders.vc/, https://oresundstartups.com/byfounders-closes-e130m-fund-iii-doubling-down-on-the-new-nordics-boldest-founders/, https://fundmomentum.vc/blog/byfounders-fund-iii-130m-new-nordics-oversubscribed-lovable-2026, https://tech.eu/2025/10/08/from-community-roots-to-ai-ambitions-byfounders-shapes-the-new-nordics-next-chapter/</t>
        </is>
      </c>
    </row>
    <row r="7">
      <c r="A7" s="22" t="n">
        <v>3</v>
      </c>
      <c r="B7" s="23" t="inlineStr">
        <is>
          <t>Elaia</t>
        </is>
      </c>
      <c r="C7" s="20" t="inlineStr">
        <is>
          <t>B</t>
        </is>
      </c>
      <c r="D7" s="20" t="n">
        <v>74</v>
      </c>
      <c r="E7" s="15" t="inlineStr">
        <is>
          <t>Paris (+ Barcelona, Tel Aviv)</t>
        </is>
      </c>
      <c r="F7" s="15" t="inlineStr">
        <is>
          <t>Frankreich</t>
        </is>
      </c>
      <c r="G7" s="15" t="inlineStr">
        <is>
          <t>VC (Deep-Tech, full-stack Seed bis Growth)</t>
        </is>
      </c>
      <c r="H7" s="16" t="inlineStr">
        <is>
          <t>Pre-Seed und Seed B2B Deep Tech (DTS3); daneben Later-Stage-Vehikel</t>
        </is>
      </c>
      <c r="I7" s="15" t="inlineStr">
        <is>
          <t>Ja - fuehrt Seed-Runden in Deep Tech an</t>
        </is>
      </c>
      <c r="J7" s="16" t="inlineStr">
        <is>
          <t>1-13 Mio. EUR ueber die Investmentlaufzeit (DTS3)</t>
        </is>
      </c>
      <c r="K7" s="16" t="inlineStr">
        <is>
          <t>DeepTech Seed 3 (DTS3): 134 Mio. EUR (Final Close Mrz 2026); ca. 850 Mio. EUR AUM, 100+ Investments, 80 Exits</t>
        </is>
      </c>
      <c r="L7" s="15" t="inlineStr">
        <is>
          <t>Teilweise</t>
        </is>
      </c>
      <c r="M7" s="16" t="inlineStr">
        <is>
          <t>Deep Tech aus europaeischer akademischer Forschung; drei Saeulen: Computing (inkl. Generative AI, Quantum, Cybersecurity), Future of Industry (Energie, Climate, Materialien), Life Sciences; Partnerschaften u.a. mit Inria, CNRS, Barcelona Supercomputing Center, Max-Planck-Institut</t>
        </is>
      </c>
      <c r="N7" s="16" t="inlineStr">
        <is>
          <t>GetVocal AI (auditierbare Conversational-AI-Agents fuer Enterprise), Aqemia (AI in der Chemie), Shift Technology, Alice&amp;Bob (Quantum), Proxima Fusion, SeqOne</t>
        </is>
      </c>
      <c r="O7" s="16" t="inlineStr">
        <is>
          <t>Gering bis mittel: GenAI faellt unter die Computing-Saeule, es gibt aber kein Data-Infrastruktur-, MLOps- oder Labeling-Investment; der Fonds sucht primaer forschungsbasierte IP</t>
        </is>
      </c>
      <c r="P7" s="16" t="inlineStr">
        <is>
          <t>-</t>
        </is>
      </c>
      <c r="Q7" s="16" t="inlineStr">
        <is>
          <t>n/a (kein dedizierter Data-Infrastruktur-Partner auf der Website ausgewiesen)</t>
        </is>
      </c>
      <c r="R7" s="16" t="inlineStr">
        <is>
          <t>n/a</t>
        </is>
      </c>
      <c r="S7" s="16" t="inlineStr">
        <is>
          <t>n/a</t>
        </is>
      </c>
      <c r="T7" s="16" t="inlineStr">
        <is>
          <t>Kontakt-/Pitch-Formular auf elaia.com; Bueros Paris, Barcelona, Tel Aviv</t>
        </is>
      </c>
      <c r="U7" s="16" t="inlineStr">
        <is>
          <t>Frischer 134-Mio.-EUR-Seed-Fonds mit passender Stage und bereits Investments in Deutschland, Spanien und der Schweiz - aber Elaia sucht forschungsbasierte Deep-Tech-Spinouts mit harter IP, wozu ein Human-in-the-loop-Datengeschaeft strukturell nicht passt.</t>
        </is>
      </c>
      <c r="V7" s="16" t="inlineStr">
        <is>
          <t>Klarer Deep-Tech-/Lab-Spinout-Filter (Inria, CNRS, Max Planck) - PathWize ist kein Forschungs-Spinout; kein Data-Infra- oder MLOps-Track-Record; Frankreich-Zentrierung; kein benennbarer Ansprechpartner fuer das Thema</t>
        </is>
      </c>
      <c r="W7" s="16" t="inlineStr">
        <is>
          <t>Nur mit wissenschaftlichem Aufhaenger sinnvoll: Positionierung als Forschungs-/Benchmark-Datenpartner fuer europaeische AI-Labs, angedockt an Elaias Max-Planck- und Inria-Kooperationen.</t>
        </is>
      </c>
      <c r="X7" s="18" t="n">
        <v>29</v>
      </c>
      <c r="Y7" s="18" t="n">
        <v>17</v>
      </c>
      <c r="Z7" s="18" t="n">
        <v>10</v>
      </c>
      <c r="AA7" s="18" t="n">
        <v>10</v>
      </c>
      <c r="AB7" s="18" t="n">
        <v>8</v>
      </c>
      <c r="AC7" s="15" t="inlineStr">
        <is>
          <t>Mittel</t>
        </is>
      </c>
      <c r="AD7" s="15" t="inlineStr">
        <is>
          <t>Bestandsliste</t>
        </is>
      </c>
      <c r="AE7" s="16" t="inlineStr">
        <is>
          <t>https://www.elaia.com/</t>
        </is>
      </c>
      <c r="AF7" s="16" t="inlineStr">
        <is>
          <t>https://www.elaia.com/, https://tech.eu/2026/03/12/elaia-closes-134m-fund-dts3-to-back-europe-s-next-generation-of-breakthrough-startups/, https://www.eu-startups.com/2026/03/french-vc-elaia-closes-third-deeptech-seed-fund-at-e134-million/</t>
        </is>
      </c>
    </row>
    <row r="8">
      <c r="A8" s="22" t="n">
        <v>4</v>
      </c>
      <c r="B8" s="23" t="inlineStr">
        <is>
          <t>Frst</t>
        </is>
      </c>
      <c r="C8" s="20" t="inlineStr">
        <is>
          <t>B</t>
        </is>
      </c>
      <c r="D8" s="20" t="n">
        <v>74</v>
      </c>
      <c r="E8" s="15" t="inlineStr">
        <is>
          <t>Paris (+ San Francisco)</t>
        </is>
      </c>
      <c r="F8" s="15" t="inlineStr">
        <is>
          <t>Frankreich</t>
        </is>
      </c>
      <c r="G8" s="15" t="inlineStr">
        <is>
          <t>VC (Day-One / Pre-Seed)</t>
        </is>
      </c>
      <c r="H8" s="16" t="inlineStr">
        <is>
          <t>Pre-Seed / Day One (teils vor Gruendung), begleitet bis Series A</t>
        </is>
      </c>
      <c r="I8" s="15" t="inlineStr">
        <is>
          <t>Ja - typischerweise erster institutioneller Check und Lead</t>
        </is>
      </c>
      <c r="J8" s="16" t="inlineStr">
        <is>
          <t>ca. 2 Mio. USD Erstticket (mit hoher Varianz); Entscheidung in '2 Meetings / 48 Stunden'</t>
        </is>
      </c>
      <c r="K8" s="16" t="inlineStr">
        <is>
          <t>Frst 3: 100 Mio. USD (2023); ca. 200 Mio. USD ueber drei Fonds, 70 Portfoliounternehmen</t>
        </is>
      </c>
      <c r="L8" s="15" t="inlineStr">
        <is>
          <t>Teilweise</t>
        </is>
      </c>
      <c r="M8" s="16" t="inlineStr">
        <is>
          <t>Backt aussergewoehnliche (vorwiegend franzoesische/europaeische) Gruender ab Tag null, generalistisch mit starkem AI-Schwerpunkt ueber Software, Biotech, Health, Defense, Financial Services</t>
        </is>
      </c>
      <c r="N8" s="16" t="inlineStr">
        <is>
          <t>poolside (Code-Foundation-Models), Owkin (Federated Learning fuer Biopharma), Bioptimus (Bio-Foundation-Models), Attention, Helical, Pigment</t>
        </is>
      </c>
      <c r="O8" s="16" t="inlineStr">
        <is>
          <t>Kein Labeling-/Annotation-Investment nachweisbar; die Foundation-Model-Investments (poolside, Bioptimus) implizieren jedoch tiefes Verstaendnis fuer Trainingsdaten-Bottlenecks</t>
        </is>
      </c>
      <c r="P8" s="16" t="inlineStr">
        <is>
          <t>-</t>
        </is>
      </c>
      <c r="Q8" s="16" t="inlineStr">
        <is>
          <t>Pierre Entremont</t>
        </is>
      </c>
      <c r="R8" s="16" t="inlineStr">
        <is>
          <t>Co-Founder &amp; Partner; weiterer Co-Founder: Bruno Raillard; Samuel Fitoussi (Associate)</t>
        </is>
      </c>
      <c r="S8" s="16" t="inlineStr">
        <is>
          <t>n/a</t>
        </is>
      </c>
      <c r="T8" s="16" t="inlineStr">
        <is>
          <t>pierre@frst.vc, bruno@frst.vc; Kontaktformular auf frst.vc</t>
        </is>
      </c>
      <c r="U8" s="16" t="inlineStr">
        <is>
          <t>Extrem schneller Day-One-Lead mit 2-Mio.-USD-Erstticket und AI-lastigem Portfolio (poolside, Owkin, Bioptimus), aber der Fonds definiert sich ueber franzoesische Gruender und hat kein belegtes Data-Infrastruktur- oder Labeling-Investment.</t>
        </is>
      </c>
      <c r="V8" s="16" t="inlineStr">
        <is>
          <t>Starker Frankreich-Fokus, DACH ist nicht Kernmarkt; Fonds von 2023 bereits weitgehend allokiert, Nachfolgefonds nicht belegt; sehr selektiv (70 Investments in 3 Fonds)</t>
        </is>
      </c>
      <c r="W8" s="16" t="inlineStr">
        <is>
          <t>Kurze, direkte Mail an pierre@frst.vc mit dem poolside-/Bioptimus-Bezug: PathWize loest den Trainingsdaten-Engpass, an dem europaeische Foundation-Model-Teams haengen - passend zum '2 Meetings, 48 Stunden'-Format.</t>
        </is>
      </c>
      <c r="X8" s="18" t="n">
        <v>29</v>
      </c>
      <c r="Y8" s="18" t="n">
        <v>21</v>
      </c>
      <c r="Z8" s="18" t="n">
        <v>13</v>
      </c>
      <c r="AA8" s="18" t="n">
        <v>7</v>
      </c>
      <c r="AB8" s="18" t="n">
        <v>4</v>
      </c>
      <c r="AC8" s="15" t="inlineStr">
        <is>
          <t>Mittel</t>
        </is>
      </c>
      <c r="AD8" s="15" t="inlineStr">
        <is>
          <t>Bestandsliste</t>
        </is>
      </c>
      <c r="AE8" s="16" t="inlineStr">
        <is>
          <t>https://www.frst.vc/</t>
        </is>
      </c>
      <c r="AF8" s="16" t="inlineStr">
        <is>
          <t>https://www.frst.vc/</t>
        </is>
      </c>
    </row>
    <row r="9">
      <c r="A9" s="22" t="n">
        <v>5</v>
      </c>
      <c r="B9" s="23" t="inlineStr">
        <is>
          <t>Kfund</t>
        </is>
      </c>
      <c r="C9" s="20" t="inlineStr">
        <is>
          <t>B</t>
        </is>
      </c>
      <c r="D9" s="20" t="n">
        <v>74</v>
      </c>
      <c r="E9" s="15" t="inlineStr">
        <is>
          <t>Madrid</t>
        </is>
      </c>
      <c r="F9" s="15" t="inlineStr">
        <is>
          <t>Spanien</t>
        </is>
      </c>
      <c r="G9" s="18" t="inlineStr">
        <is>
          <t>VC</t>
        </is>
      </c>
      <c r="H9" s="16" t="inlineStr">
        <is>
          <t>Pre-Seed bis Series B</t>
        </is>
      </c>
      <c r="I9" s="18" t="inlineStr">
        <is>
          <t>Ja</t>
        </is>
      </c>
      <c r="J9" s="16" t="inlineStr">
        <is>
          <t>100 Tsd. bis 15 Mio. EUR</t>
        </is>
      </c>
      <c r="K9" s="16" t="inlineStr">
        <is>
          <t>ueber 500 Mio. EUR AUM; K3 (sechster Fonds) mit ca. 70 Mio. EUR / 75 Mio. USD</t>
        </is>
      </c>
      <c r="L9" s="18" t="inlineStr">
        <is>
          <t>Ja</t>
        </is>
      </c>
      <c r="M9" s="16" t="inlineStr">
        <is>
          <t>Multi-Stage-Fondsfamilie fuer Gruender in Suedeuropa (Spanien, Italien, Portugal) und LatAm; K3 adressiert explizit 'foundational technologies', 'data plays', 'platform layers' und AI</t>
        </is>
      </c>
      <c r="N9" s="16" t="inlineStr">
        <is>
          <t>K3 explizit auf AI- und Data-Plays ausgerichtet; Co-Investments u.a. mit a16z, Creandum, Atomico, CRV. Konkrete verifizierte Data-Infra-/Labeling-Namen: n/a</t>
        </is>
      </c>
      <c r="O9" s="16" t="inlineStr">
        <is>
          <t>Mittel bis hoch auf Thesenebene ('data plays' ist woertlich Teil der K3-These), aber kein belegtes Labeling-/Trainingsdaten-Investment auffindbar</t>
        </is>
      </c>
      <c r="P9" s="16" t="inlineStr">
        <is>
          <t>Data-Infra-nah</t>
        </is>
      </c>
      <c r="Q9" s="16" t="inlineStr">
        <is>
          <t>Inaki Arrola</t>
        </is>
      </c>
      <c r="R9" s="16" t="inlineStr">
        <is>
          <t>Co-Founder &amp; Managing Partner (alternativ Jaime Novoa, Partner, fuer Early-Stage-Deals)</t>
        </is>
      </c>
      <c r="S9" s="16" t="inlineStr">
        <is>
          <t>https://www.linkedin.com/in/inakiarrola</t>
        </is>
      </c>
      <c r="T9" s="16" t="inlineStr">
        <is>
          <t>E-Mail-Schema vorname@kfund.vc (z.B. jaime@kfund.vc); Team-Seite https://www.kfund.vc/team</t>
        </is>
      </c>
      <c r="U9" s="16" t="inlineStr">
        <is>
          <t>Thesenseitig einer der wenigen europaeischen Fonds, die 'data plays' woertlich als Investmentkategorie fuehren, und die Stage-Spanne Pre-Seed bis Series B passt exakt. Der geografische Mandatsfokus auf Suedeuropa und LatAm macht ein deutsches Startup jedoch zum Ausnahmefall.</t>
        </is>
      </c>
      <c r="V9" s="16" t="inlineStr">
        <is>
          <t>Klarer Suedeuropa-/LatAm-Mandatsfokus, DACH gehoert nicht zum Kernterritorium; konkrete AI-Infra-Portfolio-Belege oeffentlich duenn</t>
        </is>
      </c>
      <c r="W9" s="16" t="inlineStr">
        <is>
          <t>Ueber die K3-These 'data plays' einsteigen und PathWize als die Datenschicht positionieren, die europaeische AI-Modelle ueberhaupt trainierbar macht - inklusive Hinweis auf suedeuropaeische Delivery-/Annotator-Kapazitaeten als Bruecke zum Fondsmandat.</t>
        </is>
      </c>
      <c r="X9" s="18" t="n">
        <v>27</v>
      </c>
      <c r="Y9" s="18" t="n">
        <v>26</v>
      </c>
      <c r="Z9" s="18" t="n">
        <v>9</v>
      </c>
      <c r="AA9" s="18" t="n">
        <v>9</v>
      </c>
      <c r="AB9" s="18" t="n">
        <v>3</v>
      </c>
      <c r="AC9" s="15" t="inlineStr">
        <is>
          <t>Mittel</t>
        </is>
      </c>
      <c r="AD9" s="15" t="inlineStr">
        <is>
          <t>Bestandsliste</t>
        </is>
      </c>
      <c r="AE9" s="16" t="inlineStr">
        <is>
          <t>https://www.kfund.vc/</t>
        </is>
      </c>
      <c r="AF9" s="16" t="inlineStr">
        <is>
          <t>https://www.kfund.vc/post/k3-investing-in-the-next-generation-of-southern-european-founders-building-the-future-of-gdp, https://www.pymnts.com/news/investment-tracker/2024/spains-kfund-raises-75-million-for-ai-and-data-projects/, https://www.vestbee.com/insights/articles/kfund-raises-a-70-m-fund, https://www.kfund.vc/team</t>
        </is>
      </c>
    </row>
    <row r="10">
      <c r="A10" s="22" t="n">
        <v>6</v>
      </c>
      <c r="B10" s="23" t="inlineStr">
        <is>
          <t>Seedcamp</t>
        </is>
      </c>
      <c r="C10" s="20" t="inlineStr">
        <is>
          <t>B</t>
        </is>
      </c>
      <c r="D10" s="20" t="n">
        <v>74</v>
      </c>
      <c r="E10" s="15" t="inlineStr">
        <is>
          <t>London</t>
        </is>
      </c>
      <c r="F10" s="18" t="inlineStr">
        <is>
          <t>UK</t>
        </is>
      </c>
      <c r="G10" s="15" t="inlineStr">
        <is>
          <t>VC (Seed-Plattform mit Select-Vehikel)</t>
        </is>
      </c>
      <c r="H10" s="16" t="inlineStr">
        <is>
          <t>Erstcheck / Pre-Seed und Seed, auch pre-product, pre-revenue und pre-traction; Select-Vehikel fuer Follow-ons</t>
        </is>
      </c>
      <c r="I10" s="15" t="inlineStr">
        <is>
          <t>Teilweise - haeufig Erstcheck und Co-Investor, nicht durchgaengig Lead</t>
        </is>
      </c>
      <c r="J10" s="16" t="inlineStr">
        <is>
          <t>Erstchecks bis ca. 1 Mio. USD</t>
        </is>
      </c>
      <c r="K10" s="16" t="inlineStr">
        <is>
          <t>320 Mio. USD Fund-VII-Plattform (Juni 2026): 220 Mio. USD Early Stage plus 100 Mio. USD Select; 1 Mrd. USD AUM. Fund VI 180 Mio. USD (2023).</t>
        </is>
      </c>
      <c r="L10" s="15" t="inlineStr">
        <is>
          <t>Teilweise</t>
        </is>
      </c>
      <c r="M10" s="16" t="inlineStr">
        <is>
          <t>Sektor-agnostischer Erstcheck-Investor in 'foundational technologies'; Fund VII mit Schwerpunkt auf AI an der Schnittstelle zu Science und Physical World; zusaetzlich US-Expansion fuer Portfoliounternehmen</t>
        </is>
      </c>
      <c r="N10" s="16" t="inlineStr">
        <is>
          <t>ElevenLabs, Synthesia, UiPath (Exit), Dust (AI-Agenten), Sunrise Robotics, BioOrbit, Wise (Exit)</t>
        </is>
      </c>
      <c r="O10" s="16" t="inlineStr">
        <is>
          <t>Niedrig bis mittel - starkes AI-Anwendungsportfolio, aber kein Data-Infrastruktur- oder Labeling-Schwerpunkt</t>
        </is>
      </c>
      <c r="P10" s="16" t="inlineStr">
        <is>
          <t>-</t>
        </is>
      </c>
      <c r="Q10" s="16" t="inlineStr">
        <is>
          <t>Reshma Sohoni</t>
        </is>
      </c>
      <c r="R10" s="16" t="inlineStr">
        <is>
          <t>Mitgruenderin und Managing Partner; Carlos Espinal als Mitgruender/Managing Partner</t>
        </is>
      </c>
      <c r="S10" s="16" t="inlineStr">
        <is>
          <t>https://www.linkedin.com/in/reshmasohoni</t>
        </is>
      </c>
      <c r="T10" s="16" t="inlineStr">
        <is>
          <t>Bewerbungs-/Pitch-Formular auf seedcamp.com</t>
        </is>
      </c>
      <c r="U10" s="16" t="inlineStr">
        <is>
          <t>Sehr aktiver Erstcheck-Investor mit frischem 320-Mio.-USD-Fonds und europaweitem Zugang, aber sektor-agnostisch und ohne Data-Infrastruktur- oder Trainingsdaten-These - der Fit kommt aus der Stage, nicht aus der These.</t>
        </is>
      </c>
      <c r="V10" s="16" t="inlineStr">
        <is>
          <t>Kein Data-Infra-Fokus und kein Labeling-Investment im Portfolio; fuehrt Runden nicht zuverlaessig an; Fund VII lenkt Aufmerksamkeit Richtung Physical AI und US-Expansion; sehr hohe Deal-Anzahl bedeutet begrenzte Einzelbetreuung.</t>
        </is>
      </c>
      <c r="W10" s="16" t="inlineStr">
        <is>
          <t>Ueber das Bewerbungsformular mit einem AI-Infrastruktur-Winkel einreichen und die europaeische Souveraenitaets-/Compliance-Karte fuer Trainingsdaten spielen.</t>
        </is>
      </c>
      <c r="X10" s="18" t="n">
        <v>26</v>
      </c>
      <c r="Y10" s="18" t="n">
        <v>18</v>
      </c>
      <c r="Z10" s="18" t="n">
        <v>12</v>
      </c>
      <c r="AA10" s="18" t="n">
        <v>10</v>
      </c>
      <c r="AB10" s="18" t="n">
        <v>8</v>
      </c>
      <c r="AC10" s="15" t="inlineStr">
        <is>
          <t>Mittel</t>
        </is>
      </c>
      <c r="AD10" s="15" t="inlineStr">
        <is>
          <t>Bestandsliste</t>
        </is>
      </c>
      <c r="AE10" s="16" t="inlineStr">
        <is>
          <t>https://seedcamp.com/</t>
        </is>
      </c>
      <c r="AF10" s="16" t="inlineStr">
        <is>
          <t>https://techcrunch.com/2026/06/22/seedcamp-raises-320m-for-its-new-fund-to-expand-its-us-footprint/, https://www.eu-startups.com/2026/06/seedcamp-raises-e279-million-to-back-europes-next-generation-of-global-startups/, https://fundmomentum.vc/blog/seedcamp-fund-vii-select-320m-1b-aum-us-expansion-2026</t>
        </is>
      </c>
    </row>
    <row r="11">
      <c r="A11" s="22" t="n">
        <v>7</v>
      </c>
      <c r="B11" s="23" t="inlineStr">
        <is>
          <t>U2V (Earlybird-X Spin-out)</t>
        </is>
      </c>
      <c r="C11" s="20" t="inlineStr">
        <is>
          <t>B</t>
        </is>
      </c>
      <c r="D11" s="20" t="n">
        <v>74</v>
      </c>
      <c r="E11" s="15" t="inlineStr">
        <is>
          <t>Berlin (weitere Standorte Aachen, London)</t>
        </is>
      </c>
      <c r="F11" s="15" t="inlineStr">
        <is>
          <t>Deutschland</t>
        </is>
      </c>
      <c r="G11" s="18" t="inlineStr">
        <is>
          <t>VC</t>
        </is>
      </c>
      <c r="H11" s="16" t="inlineStr">
        <is>
          <t>Pre-Seed &amp; Seed</t>
        </is>
      </c>
      <c r="I11" s="18" t="inlineStr">
        <is>
          <t>Ja</t>
        </is>
      </c>
      <c r="J11" s="16" t="inlineStr">
        <is>
          <t>n/a; ca. 25 Investments aus einem 60-Mio.-EUR-Fonds geplant (rechnerisch im niedrigen einstelligen Mio.-Bereich)</t>
        </is>
      </c>
      <c r="K11" s="16" t="inlineStr">
        <is>
          <t>60 Mio. EUR / ca. 70 Mio. USD (Fund I, First Close Dezember 2025)</t>
        </is>
      </c>
      <c r="L11" s="15" t="inlineStr">
        <is>
          <t>Teilweise</t>
        </is>
      </c>
      <c r="M11" s="16" t="inlineStr">
        <is>
          <t>Deep-Tech-Spin-offs europaeischer Technischer Universitaeten (ETH Zuerich, TUM, RWTH Aachen, Oxford, Cambridge, Imperial College, Ecole Polytechnique) in AI &amp; Novel Computing, IndustrialTech und CleanTech</t>
        </is>
      </c>
      <c r="N11" s="16" t="inlineStr">
        <is>
          <t>Fund I noch im Aufbau; Track Record des Teams aus Earlybird-X u.a. LiveEO (Satellitendaten-Analytics), Twaice (Battery Analytics), Quantum Diamonds, Certivity</t>
        </is>
      </c>
      <c r="O11" s="16" t="inlineStr">
        <is>
          <t>Niedrig bis mittel - AI ist Kernkategorie, aber der Fokus liegt auf Novel Computing und Hardware-naher Forschung, nicht auf Datenservices</t>
        </is>
      </c>
      <c r="P11" s="16" t="inlineStr">
        <is>
          <t>-</t>
        </is>
      </c>
      <c r="Q11" s="16" t="inlineStr">
        <is>
          <t>Dr. Philipp Semmer</t>
        </is>
      </c>
      <c r="R11" s="16" t="inlineStr">
        <is>
          <t>Founding Partner (weitere Founding Partners: Michael Schmitt, Johannes Triebs)</t>
        </is>
      </c>
      <c r="S11" s="16" t="inlineStr">
        <is>
          <t>https://de.linkedin.com/in/philippsemmer</t>
        </is>
      </c>
      <c r="T11" s="16" t="inlineStr">
        <is>
          <t>Website https://www.u2v.vc/ (Kontaktseite); Partner ueber LinkedIn direkt erreichbar</t>
        </is>
      </c>
      <c r="U11" s="16" t="inlineStr">
        <is>
          <t>Frischer 60-Mio.-Fonds mit reinem Pre-Seed-/Seed-Mandat, deutschem Sitz und AI als einer von drei Kernkategorien - stage- und geo-seitig ein sehr guter Fit. Kritisch ist das enge Spin-out-Mandat: ohne universitaeren Forschungsursprung faellt PathWize weitgehend aus dem Investitionsraster.</t>
        </is>
      </c>
      <c r="V11" s="16" t="inlineStr">
        <is>
          <t>Hartes Mandat auf Universitaets-Spin-offs; AI-Verstaendnis eher Novel Computing / Deep-Tech-Forschung als Data-Services; Fonds sehr neu, kein eigener Track Record</t>
        </is>
      </c>
      <c r="W11" s="16" t="inlineStr">
        <is>
          <t>Nur sinnvoll mit einem belegbaren Forschungsanker (z.B. RWTH-/TUM-Kooperation oder wissenschaftliche Publikation zur Annotationsqualitaet) - dann PathWize als Datenschicht fuer die AI-Spin-offs des eigenen Portfolios positionieren.</t>
        </is>
      </c>
      <c r="X11" s="18" t="n">
        <v>28</v>
      </c>
      <c r="Y11" s="18" t="n">
        <v>18</v>
      </c>
      <c r="Z11" s="18" t="n">
        <v>9</v>
      </c>
      <c r="AA11" s="18" t="n">
        <v>9</v>
      </c>
      <c r="AB11" s="18" t="n">
        <v>10</v>
      </c>
      <c r="AC11" s="15" t="inlineStr">
        <is>
          <t>Mittel</t>
        </is>
      </c>
      <c r="AD11" s="15" t="inlineStr">
        <is>
          <t>Bestandsliste</t>
        </is>
      </c>
      <c r="AE11" s="16" t="inlineStr">
        <is>
          <t>https://www.u2v.vc/</t>
        </is>
      </c>
      <c r="AF11" s="16" t="inlineStr">
        <is>
          <t>https://www.eu-startups.com/2025/12/earlybird-x-spin-off-u2v-launches-e60-million-fund-back-deeptech-startups-from-european-tech-universities/, https://sifted.eu/articles/earlybird-partners-launch-u2v-spinout-fund, https://tech.eu/2025/12/10/u2v-launches-eur60m-fund-for-deep-tech-university-spin-offs-in-europe/</t>
        </is>
      </c>
    </row>
    <row r="12">
      <c r="A12" s="22" t="n">
        <v>8</v>
      </c>
      <c r="B12" s="23" t="inlineStr">
        <is>
          <t>United Ventures</t>
        </is>
      </c>
      <c r="C12" s="20" t="inlineStr">
        <is>
          <t>B</t>
        </is>
      </c>
      <c r="D12" s="20" t="n">
        <v>74</v>
      </c>
      <c r="E12" s="15" t="inlineStr">
        <is>
          <t>Mailand</t>
        </is>
      </c>
      <c r="F12" s="15" t="inlineStr">
        <is>
          <t>Italien</t>
        </is>
      </c>
      <c r="G12" s="18" t="inlineStr">
        <is>
          <t>VC</t>
        </is>
      </c>
      <c r="H12" s="16" t="inlineStr">
        <is>
          <t>Seed und Series A (Early Stage)</t>
        </is>
      </c>
      <c r="I12" s="15" t="inlineStr">
        <is>
          <t>Ja - fuehrte u.a. die Runden von IdentifAI und Aindo an</t>
        </is>
      </c>
      <c r="J12" s="16" t="inlineStr">
        <is>
          <t>1-8 Mio. EUR Erstticket (United Ventures III); Sweet Spot ca. 1-2,5 Mio. EUR</t>
        </is>
      </c>
      <c r="K12" s="16" t="inlineStr">
        <is>
          <t>United Ventures III: 150 Mio. EUR (Launch 2023), Ziel 15-18 Investments; 56 Investments insgesamt</t>
        </is>
      </c>
      <c r="L12" s="15" t="inlineStr">
        <is>
          <t>Teilweise</t>
        </is>
      </c>
      <c r="M12" s="16" t="inlineStr">
        <is>
          <t>Italienische und europaeische Software- und Deep-Tech-Unternehmen mit globaler Ambition; Enterprise Software, Cybersecurity, Fintech, digitale Plattformen</t>
        </is>
      </c>
      <c r="N12" s="16" t="inlineStr">
        <is>
          <t>Aindo (synthetische Datengenerierung fuer AI-Training, Series A 6 Mio. EUR gefuehrt von United Ventures), IdentifAI (Deepfake-Erkennung, Seed 2,2 Mio. + 5 Mio. EUR), Musixmatch, FaceIt, Moneyfarm</t>
        </is>
      </c>
      <c r="O12" s="16" t="inlineStr">
        <is>
          <t>Hoch relevant: Aindo ist ein Trainingsdaten-Investment (synthetische Daten statt Human-in-the-loop) - der Fonds versteht die Trainingsdaten-Wertschoepfung, koennte darin aber auch ein Portfolio-Konkurrenzthema sehen</t>
        </is>
      </c>
      <c r="P12" s="16" t="inlineStr">
        <is>
          <t>Data-Infra-nah</t>
        </is>
      </c>
      <c r="Q12" s="16" t="inlineStr">
        <is>
          <t>Massimiliano Magrini</t>
        </is>
      </c>
      <c r="R12" s="16" t="inlineStr">
        <is>
          <t>Co-Founder &amp; Managing Partner (zuvor Country Manager Google Italien und AltaVista)</t>
        </is>
      </c>
      <c r="S12" s="16" t="inlineStr">
        <is>
          <t>n/a</t>
        </is>
      </c>
      <c r="T12" s="16" t="inlineStr">
        <is>
          <t>Kontaktformular auf unitedventures.com; keine oeffentliche Pitch-E-Mail belegbar</t>
        </is>
      </c>
      <c r="U12" s="16" t="inlineStr">
        <is>
          <t>Mit Aindo hat United Ventures ein belegtes Trainingsdaten-Investment und mit IdentifAI ein AI-Investment gefuehrt, agiert aber ueberwiegend im italienischen Ecosystem - deutsche Startups sind die Ausnahme, nicht die Regel.</t>
        </is>
      </c>
      <c r="V12" s="16" t="inlineStr">
        <is>
          <t>Klarer Italien-Schwerpunkt trotz 'europaeischem' Anspruch; Aindo (synthetische Daten) kann als konkurrierende Portfolio-Position gewertet werden; Fonds von 2023 bereits teilweise allokiert</t>
        </is>
      </c>
      <c r="W12" s="16" t="inlineStr">
        <is>
          <t>Ueber die Aindo-These einsteigen: synthetische Daten und Human-in-the-loop-Labeling sind komplementaer, PathWize liefert den Qualitaets-Layer, den rein synthetische Pipelines nicht abdecken.</t>
        </is>
      </c>
      <c r="X12" s="18" t="n">
        <v>27</v>
      </c>
      <c r="Y12" s="18" t="n">
        <v>19</v>
      </c>
      <c r="Z12" s="18" t="n">
        <v>15</v>
      </c>
      <c r="AA12" s="18" t="n">
        <v>8</v>
      </c>
      <c r="AB12" s="18" t="n">
        <v>5</v>
      </c>
      <c r="AC12" s="15" t="inlineStr">
        <is>
          <t>Mittel</t>
        </is>
      </c>
      <c r="AD12" s="15" t="inlineStr">
        <is>
          <t>Bestandsliste</t>
        </is>
      </c>
      <c r="AE12" s="16" t="inlineStr">
        <is>
          <t>https://unitedventures.com/</t>
        </is>
      </c>
      <c r="AF12" s="16" t="inlineStr">
        <is>
          <t>https://unitedventures.com/, https://www.eu-startups.com/2023/07/milan-based-united-ventures-launches-its-latest-e150-million-early-stage-fund-to-invest-in-up-to-18-european-startups/, https://www.startupreporter.eu/italian-startup-aindo-synthetic-data-technology/, https://www.vestbee.com/insights/articles/identif-ai-raises-5-m</t>
        </is>
      </c>
    </row>
    <row r="13">
      <c r="A13" s="22" t="n">
        <v>9</v>
      </c>
      <c r="B13" s="23" t="inlineStr">
        <is>
          <t>IQ Capital</t>
        </is>
      </c>
      <c r="C13" s="20" t="inlineStr">
        <is>
          <t>B</t>
        </is>
      </c>
      <c r="D13" s="20" t="n">
        <v>73</v>
      </c>
      <c r="E13" s="15" t="inlineStr">
        <is>
          <t>Cambridge / London</t>
        </is>
      </c>
      <c r="F13" s="18" t="inlineStr">
        <is>
          <t>UK</t>
        </is>
      </c>
      <c r="G13" s="15" t="inlineStr">
        <is>
          <t>VC (Early Stage Fund + Growth Fund)</t>
        </is>
      </c>
      <c r="H13" s="16" t="inlineStr">
        <is>
          <t>Seed und Series A (Fund IV); separater Growth-Fonds fuer spaetere Runden</t>
        </is>
      </c>
      <c r="I13" s="15" t="inlineStr">
        <is>
          <t>Ja - fuehrt Seed- und Series-A-Runden an (z.B. Gravis Robotics 23 Mio. USD, Nov 2025)</t>
        </is>
      </c>
      <c r="J13" s="16" t="inlineStr">
        <is>
          <t>ca. 2,5 Mio. USD im Seed, bis 5 Mio. USD in kapitalintensiven Feldern</t>
        </is>
      </c>
      <c r="K13" s="16" t="inlineStr">
        <is>
          <t>200 Mio. USD (Fund IV, Final Close) plus 200 Mio. USD Growth Fund II; ueber 1 Mrd. USD AUM</t>
        </is>
      </c>
      <c r="L13" s="15" t="inlineStr">
        <is>
          <t>Teilweise</t>
        </is>
      </c>
      <c r="M13" s="16" t="inlineStr">
        <is>
          <t>Deep Tech mit verteidigbarem IP: Generative AI, Advanced Engineering und neue Materialien, Space Tech, Quantum Hardware und Algorithmen, Cyber und Data Security, Synthetic Biology; starkes Cambridge-/Academic-Sourcing</t>
        </is>
      </c>
      <c r="N13" s="16" t="inlineStr">
        <is>
          <t>Speechmatics (Speech-AI), Synthesized (synthetische Testdaten), Fluidstack (GPU-Infra), DreamFold, Nu Quantum, Gravis Robotics</t>
        </is>
      </c>
      <c r="O13" s="16" t="inlineStr">
        <is>
          <t>Mittel - datenbezogene Investments vorhanden (Synthesized, Speechmatics), aber kein Labeling-/Annotation-Investment und keine Data-Infra-These im engeren Sinn</t>
        </is>
      </c>
      <c r="P13" s="16" t="inlineStr">
        <is>
          <t>-</t>
        </is>
      </c>
      <c r="Q13" s="16" t="inlineStr">
        <is>
          <t>n/a</t>
        </is>
      </c>
      <c r="R13" s="16" t="inlineStr">
        <is>
          <t>n/a - kein oeffentlich benannter Partner mit Data-Infrastruktur- oder MLOps-Remit auffindbar; Kerry Baldwin und Max Bautin als Mitgruender/General Partner</t>
        </is>
      </c>
      <c r="S13" s="16" t="inlineStr">
        <is>
          <t>n/a</t>
        </is>
      </c>
      <c r="T13" s="16" t="inlineStr">
        <is>
          <t>Kontaktformular auf iqcapital.vc</t>
        </is>
      </c>
      <c r="U13" s="16" t="inlineStr">
        <is>
          <t>Kapitalstarker und aktiver Seed-/Series-A-Deep-Tech-Fonds, dessen These aber auf verteidigbares technisches IP (Quantum, Materials, Space) zielt - ein Human-in-the-loop-Labeling-Geschaeft passt nur am Rand.</t>
        </is>
      </c>
      <c r="V13" s="16" t="inlineStr">
        <is>
          <t>Kein Data-Infra- oder MLOps-Partner benennbar; Schwerpunkt auf UK-/Cambridge-Sourcing mit wenig DACH-Aktivitaet; Labeling ist operativ und arbeitsintensiv, nicht das IP-Profil, das IQ Capital sucht.</t>
        </is>
      </c>
      <c r="W13" s="16" t="inlineStr">
        <is>
          <t>Nur mit einem klaren IP- und Automatisierungsnarrativ ansprechen: proprietaere Qualitaets- und Active-Learning-Technologie statt reiner Annotations-Dienstleistung.</t>
        </is>
      </c>
      <c r="X13" s="18" t="n">
        <v>27</v>
      </c>
      <c r="Y13" s="18" t="n">
        <v>18</v>
      </c>
      <c r="Z13" s="18" t="n">
        <v>13</v>
      </c>
      <c r="AA13" s="18" t="n">
        <v>9</v>
      </c>
      <c r="AB13" s="18" t="n">
        <v>6</v>
      </c>
      <c r="AC13" s="15" t="inlineStr">
        <is>
          <t>Mittel</t>
        </is>
      </c>
      <c r="AD13" s="15" t="inlineStr">
        <is>
          <t>Bestandsliste</t>
        </is>
      </c>
      <c r="AE13" s="16" t="inlineStr">
        <is>
          <t>https://www.iqcapital.vc/</t>
        </is>
      </c>
      <c r="AF13" s="16" t="inlineStr">
        <is>
          <t>https://www.iqcapital.vc/, https://www.iqcapital.vc/news/iq-capital-raises-400m-to-invest-in-transformative-deep-tech-companies, https://sifted.eu/articles/iq-capital-200m-deeptech-fund-news, https://www.uktech.news/funding/vc-funding/iq-capital-fund-20230605</t>
        </is>
      </c>
    </row>
    <row r="14">
      <c r="A14" s="22" t="n">
        <v>10</v>
      </c>
      <c r="B14" s="23" t="inlineStr">
        <is>
          <t>PSV Tech</t>
        </is>
      </c>
      <c r="C14" s="20" t="inlineStr">
        <is>
          <t>B</t>
        </is>
      </c>
      <c r="D14" s="20" t="n">
        <v>73</v>
      </c>
      <c r="E14" s="15" t="inlineStr">
        <is>
          <t>Kongens Lyngby / Kopenhagen</t>
        </is>
      </c>
      <c r="F14" s="15" t="inlineStr">
        <is>
          <t>Daenemark</t>
        </is>
      </c>
      <c r="G14" s="18" t="inlineStr">
        <is>
          <t>VC</t>
        </is>
      </c>
      <c r="H14" s="16" t="inlineStr">
        <is>
          <t>Pre-Seed (pre-PMF), teilweise Seed</t>
        </is>
      </c>
      <c r="I14" s="15" t="inlineStr">
        <is>
          <t>Ja (typischer Lead in Pre-Seed-Runden)</t>
        </is>
      </c>
      <c r="J14" s="16" t="inlineStr">
        <is>
          <t>100 Tsd. bis 1,5 Mio. EUR</t>
        </is>
      </c>
      <c r="K14" s="16" t="inlineStr">
        <is>
          <t>70 Mio. EUR (PSV Tech Fund II, Launch Mai 2025)</t>
        </is>
      </c>
      <c r="L14" s="18" t="inlineStr">
        <is>
          <t>Ja</t>
        </is>
      </c>
      <c r="M14" s="16" t="inlineStr">
        <is>
          <t>Nordische Gruender in AI, Software und digitaler Infrastruktur vor Product-Market-Fit; uebergeordnete These europaeische technologische Souveraenitaet und Resilienz; angesiedelt an der DTU</t>
        </is>
      </c>
      <c r="N14" s="16" t="inlineStr">
        <is>
          <t>Fund II noch jung; Fund-I-Referenzen u.a. Helloflow, Heyhack. Verifizierte AI-Data-Infra-Namen: n/a</t>
        </is>
      </c>
      <c r="O14" s="16" t="inlineStr">
        <is>
          <t>Mittel - 'digitale Infrastruktur' und AI sind explizite Kategorien, aber kein Labeling-/Trainingsdaten-Investment belegbar</t>
        </is>
      </c>
      <c r="P14" s="16" t="inlineStr">
        <is>
          <t>Data-Infra-nah</t>
        </is>
      </c>
      <c r="Q14" s="16" t="inlineStr">
        <is>
          <t>Christel Piron</t>
        </is>
      </c>
      <c r="R14" s="16" t="inlineStr">
        <is>
          <t>General Partner / CEO (weitere GPs: Helle Uth, Richard Breiter, Alexander Viterbo-Horten)</t>
        </is>
      </c>
      <c r="S14" s="16" t="inlineStr">
        <is>
          <t>https://dk.linkedin.com/in/christelpiron</t>
        </is>
      </c>
      <c r="T14" s="16" t="inlineStr">
        <is>
          <t>Website https://www.psv.xyz/ (Kontaktseite), Telefon +45 7734 0755, Adresse Diplomvej 381, 2800 Kongens Lyngby</t>
        </is>
      </c>
      <c r="U14" s="16" t="inlineStr">
        <is>
          <t>These 'AI, Software und digitale Infrastruktur mit europaeischer Souveraenitaet' trifft die PathWize-Positionierung fast woertlich, und der frisch aufgelegte 70-Mio.-Fonds sucht aktiv Pre-Seed-Deals. Der Fonds investiert jedoch dezidiert in nordische Gruender, was DACH ausschliesst.</t>
        </is>
      </c>
      <c r="V14" s="16" t="inlineStr">
        <is>
          <t>Explizites Nordics-Mandat (Daenemark/Nordeuropa), DACH ausserhalb des Fokus; Fund II hat noch kaum sichtbaren Track Record</t>
        </is>
      </c>
      <c r="W14" s="16" t="inlineStr">
        <is>
          <t>Ueber die Souveraenitaetsthese ansprechen: europaeische Trainingsdaten-Infrastruktur als Voraussetzung fuer nordische AI-Modelle - und pruefen, ob eine nordische Entitaet oder ein Co-Investment-Setup das Mandat oeffnet.</t>
        </is>
      </c>
      <c r="X14" s="18" t="n">
        <v>26</v>
      </c>
      <c r="Y14" s="18" t="n">
        <v>27</v>
      </c>
      <c r="Z14" s="18" t="n">
        <v>8</v>
      </c>
      <c r="AA14" s="18" t="n">
        <v>9</v>
      </c>
      <c r="AB14" s="18" t="n">
        <v>3</v>
      </c>
      <c r="AC14" s="15" t="inlineStr">
        <is>
          <t>Mittel</t>
        </is>
      </c>
      <c r="AD14" s="15" t="inlineStr">
        <is>
          <t>Bestandsliste</t>
        </is>
      </c>
      <c r="AE14" s="16" t="inlineStr">
        <is>
          <t>https://www.psv.xyz/</t>
        </is>
      </c>
      <c r="AF14" s="16" t="inlineStr">
        <is>
          <t>https://www.psv.xyz/stories/psv-tech-fund-ii-backing-the-next-wave-of-nordic-tech-giants, https://www.eu-startups.com/2025/05/danish-investor-psv-tech-launches-a-e70-million-fund-ii-to-support-the-next-tech-giants-of-the-nordics/, https://siliconcanals.com/psv-tech-launches-fund-ii/, https://www.psv.xyz/</t>
        </is>
      </c>
    </row>
    <row r="15">
      <c r="A15" s="22" t="n">
        <v>11</v>
      </c>
      <c r="B15" s="23" t="inlineStr">
        <is>
          <t>Lakestar</t>
        </is>
      </c>
      <c r="C15" s="20" t="inlineStr">
        <is>
          <t>B</t>
        </is>
      </c>
      <c r="D15" s="20" t="n">
        <v>72</v>
      </c>
      <c r="E15" s="15" t="inlineStr">
        <is>
          <t>Zürich / Berlin / London</t>
        </is>
      </c>
      <c r="F15" s="15" t="inlineStr">
        <is>
          <t>Schweiz / Deutschland</t>
        </is>
      </c>
      <c r="G15" s="15" t="inlineStr">
        <is>
          <t>Multi-Stage Venture Capital</t>
        </is>
      </c>
      <c r="H15" s="16" t="inlineStr">
        <is>
          <t>Seed, Series A bis Growth (Early- und Growth-Fonds getrennt)</t>
        </is>
      </c>
      <c r="I15" s="18" t="inlineStr">
        <is>
          <t>Ja</t>
        </is>
      </c>
      <c r="J15" s="16" t="inlineStr">
        <is>
          <t>Early-Stage typ. 1-10 Mio. EUR, Growth deutlich höher (nicht offiziell publiziert)</t>
        </is>
      </c>
      <c r="K15" s="16" t="inlineStr">
        <is>
          <t>über 6 Mrd. USD AUM; 2026 neuer Fonds über ca. 300 Mio. USD für europäische Tech-Souveränität</t>
        </is>
      </c>
      <c r="L15" s="15" t="inlineStr">
        <is>
          <t>Teilweise</t>
        </is>
      </c>
      <c r="M15" s="16" t="inlineStr">
        <is>
          <t>Sektor-definierende Unternehmen in kritischen Technologien mit Fokus auf europäische Souveränität; historisch Fintech, Deep Tech, AI, Marktplätze, Mobility; zuletzt Verschiebung zu Defense, Aerospace und industrieller Resilienz</t>
        </is>
      </c>
      <c r="N15" s="16" t="inlineStr">
        <is>
          <t>Helsing (AI/Defense), Isar Aerospace, Revolut, Klarna, SumUp, Spotify, Coinbase; AI wird als Sektor genannt, dedizierte Data-Infra-/MLOps-Investments sind nicht belegbar</t>
        </is>
      </c>
      <c r="O15" s="16" t="inlineStr">
        <is>
          <t>Mittel - AI ist Teil der These und Helsing arbeitet stark datengetrieben, aber es gibt kein belegtes Investment in Labeling, Annotation oder Trainingsdaten-Infrastruktur</t>
        </is>
      </c>
      <c r="P15" s="16" t="inlineStr">
        <is>
          <t>Data-Infra-nah</t>
        </is>
      </c>
      <c r="Q15" s="16" t="inlineStr">
        <is>
          <t>Nicolas Brand</t>
        </is>
      </c>
      <c r="R15" s="16" t="inlineStr">
        <is>
          <t>Managing Partner, Fokus Deep Tech</t>
        </is>
      </c>
      <c r="S15" s="16" t="inlineStr">
        <is>
          <t>n/a</t>
        </is>
      </c>
      <c r="T15" s="16" t="inlineStr">
        <is>
          <t>https://www.lakestar.com/ (Kontaktseite; keine öffentliche Pitch-Mail publiziert)</t>
        </is>
      </c>
      <c r="U15" s="16" t="inlineStr">
        <is>
          <t>Lakestar investiert aktiv ab Seed/Series A in DACH, nennt AI und Deep Tech explizit in der These und hat mit dem 2026er Souveränitätsfonds frisches Kapital. Der zuletzt starke Schwenk auf Defense, Aerospace und industrielle Resilienz macht ein reines Data-Labeling-Geschäftsmodell aber zu einem Randthema.</t>
        </is>
      </c>
      <c r="V15" s="16" t="inlineStr">
        <is>
          <t>Strategische Verschiebung Richtung Defense/Aerospace und größere, konzentrierte Tickets; kein belegtes Data-Infra-/MLOps-Portfolio; Frühphase ist nicht mehr Kernfokus</t>
        </is>
      </c>
      <c r="W15" s="16" t="inlineStr">
        <is>
          <t>PathWize als souveränitätsrelevante europäische Trainingsdaten-Infrastruktur positionieren, die europäischen Foundation-Model- und Defense-AI-Teams (Helsing-Umfeld) unabhängig von US-Labeling-Anbietern macht.</t>
        </is>
      </c>
      <c r="X15" s="18" t="n">
        <v>24</v>
      </c>
      <c r="Y15" s="18" t="n">
        <v>19</v>
      </c>
      <c r="Z15" s="18" t="n">
        <v>10</v>
      </c>
      <c r="AA15" s="18" t="n">
        <v>9</v>
      </c>
      <c r="AB15" s="18" t="n">
        <v>10</v>
      </c>
      <c r="AC15" s="15" t="inlineStr">
        <is>
          <t>Mittel</t>
        </is>
      </c>
      <c r="AD15" s="15" t="inlineStr">
        <is>
          <t>Bestandsliste</t>
        </is>
      </c>
      <c r="AE15" s="16" t="inlineStr">
        <is>
          <t>https://www.lakestar.com/</t>
        </is>
      </c>
      <c r="AF15" s="16" t="inlineStr">
        <is>
          <t>https://www.lakestar.com/, https://www.pymnts.com/news/investment-tracker/2026/vc-firm-lakestar-raises-300-million-to-fund-european-tech-sovereignty/, https://www.crunchbase.com/organization/lakestar, https://tracxn.com/d/venture-capital/lakestar</t>
        </is>
      </c>
    </row>
    <row r="16">
      <c r="A16" s="22" t="n">
        <v>12</v>
      </c>
      <c r="B16" s="23" t="inlineStr">
        <is>
          <t>Plural</t>
        </is>
      </c>
      <c r="C16" s="20" t="inlineStr">
        <is>
          <t>B</t>
        </is>
      </c>
      <c r="D16" s="20" t="n">
        <v>72</v>
      </c>
      <c r="E16" s="15" t="inlineStr">
        <is>
          <t>London</t>
        </is>
      </c>
      <c r="F16" s="15" t="inlineStr">
        <is>
          <t>Vereinigtes Königreich</t>
        </is>
      </c>
      <c r="G16" s="15" t="inlineStr">
        <is>
          <t>VC (Gründer-geführter Fonds; Team aus erfahrenen Unternehmern)</t>
        </is>
      </c>
      <c r="H16" s="16" t="inlineStr">
        <is>
          <t>Frühphase - Pre-Seed bis Series A, mit großen Erstschecks</t>
        </is>
      </c>
      <c r="I16" s="18" t="inlineStr">
        <is>
          <t>Ja</t>
        </is>
      </c>
      <c r="J16" s="16" t="inlineStr">
        <is>
          <t>n/a</t>
        </is>
      </c>
      <c r="K16" s="16" t="inlineStr">
        <is>
          <t>n/a</t>
        </is>
      </c>
      <c r="L16" s="15" t="inlineStr">
        <is>
          <t>Teilweise</t>
        </is>
      </c>
      <c r="M16" s="16" t="inlineStr">
        <is>
          <t>Investiert in ambitionierte, technisch schwierige europäische Unternehmen mit systemischer Wirkung ('serious founders deserve investors with company-building experience to match their ambition'). Schwerpunkte: Deep Tech, Verteidigung/Sicherheit, Energie, Robotik, AI.</t>
        </is>
      </c>
      <c r="N16" s="16" t="inlineStr">
        <is>
          <t>Helsing (AI für Verteidigung, München - stark auf annotierte Sensor-/Bilddaten angewiesen), Proxima Fusion (München), Monumental (Robotik), Teton (AI-Pflegeüberwachung), Hypersonica, TEC - Website-belegt.</t>
        </is>
      </c>
      <c r="O16" s="16" t="inlineStr">
        <is>
          <t>Mittel bis hoch. Helsing und Teton sind unmittelbar auf hochwertige, oft sicherheitskritische Datenannotation angewiesen. Eine explizite Data-Infrastruktur-These fehlt jedoch; Plural investiert eher in Anwendungs- und Hardware-nahe Deep Tech.</t>
        </is>
      </c>
      <c r="P16" s="16" t="inlineStr">
        <is>
          <t>-</t>
        </is>
      </c>
      <c r="Q16" s="16" t="inlineStr">
        <is>
          <t>Ian Hogarth</t>
        </is>
      </c>
      <c r="R16" s="16" t="inlineStr">
        <is>
          <t>Co-Founder / Partner (Mitautor des 'State of AI Report', sehr AI-affines Profil; nicht in dieser Recherche über die Website verifiziert)</t>
        </is>
      </c>
      <c r="S16" s="16" t="inlineStr">
        <is>
          <t>n/a</t>
        </is>
      </c>
      <c r="T16" s="16" t="inlineStr">
        <is>
          <t>Über https://www.pluralplatform.com/ (Kontakt- und Investorenportal)</t>
        </is>
      </c>
      <c r="U16" s="16" t="inlineStr">
        <is>
          <t>Sehr AI-kompetentes Partnerteam und starker DACH-Bezug über Helsing und Proxima Fusion (beide München). Investiert in der richtigen Frühphase mit substanziellen Erstschecks. Der Fokus liegt allerdings auf 'harter' Deep Tech (Verteidigung, Fusion, Robotik) und weniger auf Daten- und Service-Infrastruktur.</t>
        </is>
      </c>
      <c r="V16" s="16" t="inlineStr">
        <is>
          <t>Keine öffentlichen Angaben zu Fonds- oder Ticketgröße. Portfolio deutlich hardware- und verteidigungslastig; ein dienstleistungsnahes Labeling-Modell könnte als zu wenig 'deep' bewertet werden. Kleines Team, sehr selektiv, kaum Cold-Inbound-Kanal.</t>
        </is>
      </c>
      <c r="W16" s="16" t="inlineStr">
        <is>
          <t>Über Helsing-Narrativ ansprechen: europäische souveräne AI benötigt sicherheitsgeprüfte, in der EU verarbeitete Annotationskapazität - inklusive Möglichkeit von Clearance-/Vertraulichkeitsprozessen. Damit wird Data Labeling zur strategischen Infrastruktur statt zur Dienstleistung.</t>
        </is>
      </c>
      <c r="X16" s="18" t="n">
        <v>25</v>
      </c>
      <c r="Y16" s="18" t="n">
        <v>20</v>
      </c>
      <c r="Z16" s="18" t="n">
        <v>11</v>
      </c>
      <c r="AA16" s="18" t="n">
        <v>9</v>
      </c>
      <c r="AB16" s="18" t="n">
        <v>7</v>
      </c>
      <c r="AC16" s="15" t="inlineStr">
        <is>
          <t>Mittel</t>
        </is>
      </c>
      <c r="AD16" s="15" t="inlineStr">
        <is>
          <t>NEU – Recherche-Ergaenzung</t>
        </is>
      </c>
      <c r="AE16" s="16" t="inlineStr">
        <is>
          <t>https://www.pluralplatform.com/</t>
        </is>
      </c>
      <c r="AF16" s="16" t="inlineStr">
        <is>
          <t>https://www.pluralplatform.com/</t>
        </is>
      </c>
    </row>
    <row r="17">
      <c r="A17" s="22" t="n">
        <v>13</v>
      </c>
      <c r="B17" s="23" t="inlineStr">
        <is>
          <t>Vsquared Ventures</t>
        </is>
      </c>
      <c r="C17" s="20" t="inlineStr">
        <is>
          <t>B</t>
        </is>
      </c>
      <c r="D17" s="20" t="n">
        <v>72</v>
      </c>
      <c r="E17" s="15" t="inlineStr">
        <is>
          <t>Muenchen (+ London)</t>
        </is>
      </c>
      <c r="F17" s="18" t="inlineStr">
        <is>
          <t>DE</t>
        </is>
      </c>
      <c r="G17" s="15" t="inlineStr">
        <is>
          <t>VC (Deep Tech)</t>
        </is>
      </c>
      <c r="H17" s="16" t="inlineStr">
        <is>
          <t>Pre-Seed / Seed / Early Stage, fuehrt Runden an; Follow-ons bis Series A+</t>
        </is>
      </c>
      <c r="I17" s="15" t="inlineStr">
        <is>
          <t>Ja - conviction-getrieben, fuehrt Seed-Runden regelmaessig an</t>
        </is>
      </c>
      <c r="J17" s="16" t="inlineStr">
        <is>
          <t>n/a (nicht oeffentlich; typisch einstellige Mio. EUR im Seed)</t>
        </is>
      </c>
      <c r="K17" s="16" t="inlineStr">
        <is>
          <t>Fund II 214 Mio. EUR (Jun 2024); insgesamt 3 Fonds, ca. 530 Mio. USD kumuliert</t>
        </is>
      </c>
      <c r="L17" s="15" t="inlineStr">
        <is>
          <t>Teilweise</t>
        </is>
      </c>
      <c r="M17" s="16" t="inlineStr">
        <is>
          <t>Sechs 'Generational Growth Themes': New Space, Energy Transition, Robotics &amp; Manufacturing, New Computing &amp; Sensing, AI &amp; Next-Gen Software, Tech-Bio</t>
        </is>
      </c>
      <c r="N17" s="16" t="inlineStr">
        <is>
          <t>Zama (FHE/Krypto-Compute, Unicorn), Synthara (Edge-AI-Compute), IQM (Quantum), Black Semiconductor, Neura Robotics, Belfort, Hyperscale Power, constellr</t>
        </is>
      </c>
      <c r="O17" s="16" t="inlineStr">
        <is>
          <t>Niedrig-Mittel - AI ist ein deklariertes Thema, das Portfolio ist aber stark hardware-/compute-lastig; reine Software-/Services-Deals werden laut Partnerprofilen bewusst gemieden</t>
        </is>
      </c>
      <c r="P17" s="16" t="inlineStr">
        <is>
          <t>-</t>
        </is>
      </c>
      <c r="Q17" s="16" t="inlineStr">
        <is>
          <t>Herbert Mangesius</t>
        </is>
      </c>
      <c r="R17" s="16" t="inlineStr">
        <is>
          <t>Founding Partner / General Partner (Dr.-Ing., Deep-Tech-Fokus)</t>
        </is>
      </c>
      <c r="S17" s="16" t="inlineStr">
        <is>
          <t>n/a (Profilseite: https://vsquared.vc/team_member/herbert-mangesius/)</t>
        </is>
      </c>
      <c r="T17" s="16" t="inlineStr">
        <is>
          <t>future@vsquared.vc bzw. pitch@vsquared.vc; Tel. +49 151 50404219</t>
        </is>
      </c>
      <c r="U17" s="16" t="inlineStr">
        <is>
          <t>Stage, Geografie (Muenchen) und Aktivitaet passen sehr gut, aber die Deep-Tech-These ist auf Hardware, Compute, Space und Robotik ausgerichtet - ein Data-Labeling-Service-Modell liegt am Rand des Mandats.</t>
        </is>
      </c>
      <c r="V17" s="16" t="inlineStr">
        <is>
          <t>Ausdrueckliche Praeferenz fuer hardware-nahe Deep-Tech-Deals statt software-only; kein einziges Data-Infra-/Annotation-Investment belegbar; Ticketgroesse nicht transparent</t>
        </is>
      </c>
      <c r="W17" s="16" t="inlineStr">
        <is>
          <t>Nicht als Labeling-Service, sondern als souveraene europaeische Trainingsdaten-Infrastruktur fuer die Robotik- und Sensorik-Portfoliofirmen (Neura, Synthara) pitchen.</t>
        </is>
      </c>
      <c r="X17" s="18" t="n">
        <v>28</v>
      </c>
      <c r="Y17" s="18" t="n">
        <v>16</v>
      </c>
      <c r="Z17" s="18" t="n">
        <v>8</v>
      </c>
      <c r="AA17" s="18" t="n">
        <v>10</v>
      </c>
      <c r="AB17" s="18" t="n">
        <v>10</v>
      </c>
      <c r="AC17" s="15" t="inlineStr">
        <is>
          <t>Mittel</t>
        </is>
      </c>
      <c r="AD17" s="15" t="inlineStr">
        <is>
          <t>Bestandsliste</t>
        </is>
      </c>
      <c r="AE17" s="16" t="inlineStr">
        <is>
          <t>https://vsquared.vc/</t>
        </is>
      </c>
      <c r="AF17" s="16" t="inlineStr">
        <is>
          <t>https://vsquared.vc/, https://www.crunchbase.com/organization/vsquared-ventures, https://tracxn.com/d/venture-capital/vsquaredventures/__LilPW2tCD7fBnHrAPSY1Faiq1Z0wYGu9ESRVTZwcMxU, https://www.vcsheet.com/who/herbert-mangesius</t>
        </is>
      </c>
    </row>
    <row r="18">
      <c r="A18" s="22" t="n">
        <v>14</v>
      </c>
      <c r="B18" s="23" t="inlineStr">
        <is>
          <t>3VC</t>
        </is>
      </c>
      <c r="C18" s="20" t="inlineStr">
        <is>
          <t>B</t>
        </is>
      </c>
      <c r="D18" s="20" t="n">
        <v>71</v>
      </c>
      <c r="E18" s="18" t="inlineStr">
        <is>
          <t>Wien</t>
        </is>
      </c>
      <c r="F18" s="15" t="inlineStr">
        <is>
          <t>Österreich</t>
        </is>
      </c>
      <c r="G18" s="15" t="inlineStr">
        <is>
          <t>Early-Stage / Growth-Stage Venture Capital</t>
        </is>
      </c>
      <c r="H18" s="16" t="inlineStr">
        <is>
          <t>Early-Stage nach erreichtem Product-Market-Fit, Schwerpunkt Series A und B</t>
        </is>
      </c>
      <c r="I18" s="18" t="inlineStr">
        <is>
          <t>Ja</t>
        </is>
      </c>
      <c r="J18" s="16" t="inlineStr">
        <is>
          <t>bis 10 Mio. EUR pro Ticket</t>
        </is>
      </c>
      <c r="K18" s="16" t="inlineStr">
        <is>
          <t>n/a (nicht öffentlich auf der Website ausgewiesen)</t>
        </is>
      </c>
      <c r="L18" s="15" t="inlineStr">
        <is>
          <t>Teilweise</t>
        </is>
      </c>
      <c r="M18" s="16" t="inlineStr">
        <is>
          <t>Europäische Tech-Startups mit hoher Ambition und Anzeichen von Product-Market-Fit; geografischer Fokus DACH, Zentral-/Osteuropa und Südeuropa; sektorübergreifend B2B-Software-lastig</t>
        </is>
      </c>
      <c r="N18" s="16" t="inlineStr">
        <is>
          <t>Emmi AI (generative AI, von Mistral AI übernommen), Storyblok (Headless CMS), Ordio, fundcraft, fynk, simpleclub, Avi Medical</t>
        </is>
      </c>
      <c r="O18" s="16" t="inlineStr">
        <is>
          <t>Mittel - mit Emmi AI ein starkes AI-Investment mit Mistral-Anschluss, aber keine dedizierte Data-Infra-/MLOps-These und kein Labeling-Investment</t>
        </is>
      </c>
      <c r="P18" s="16" t="inlineStr">
        <is>
          <t>-</t>
        </is>
      </c>
      <c r="Q18" s="16" t="inlineStr">
        <is>
          <t>Peter Lasinger</t>
        </is>
      </c>
      <c r="R18" s="16" t="inlineStr">
        <is>
          <t>Founder &amp; Partner (weitere Partner: Eva Arh, Marius Istrate)</t>
        </is>
      </c>
      <c r="S18" s="16" t="inlineStr">
        <is>
          <t>https://at.linkedin.com/in/lasinger</t>
        </is>
      </c>
      <c r="T18" s="16" t="inlineStr">
        <is>
          <t>https://three.vc/submit-a-pitch/, https://three.vc/contact/</t>
        </is>
      </c>
      <c r="U18" s="16" t="inlineStr">
        <is>
          <t>3VC ist ein aktiver DACH-Investor mit klarem Series-A-Fokus, Tickets bis 10 Mio. EUR und mit Emmi AI einem erfolgreichen AI-Exit an Mistral. Für Pre-Seed/Seed ist der Fonds allerdings zu spät positioniert und eine explizite Data-Infrastruktur-These fehlt.</t>
        </is>
      </c>
      <c r="V18" s="16" t="inlineStr">
        <is>
          <t>Verlangt nachgewiesenen Product-Market-Fit, damit kein Pre-Seed/Seed-Partner; Fondsgröße nicht transparent; die Domain 3vc.com ist geparkt - korrekte Adresse ist three.vc, was auf veraltete Datenbankeinträge hindeutet</t>
        </is>
      </c>
      <c r="W18" s="16" t="inlineStr">
        <is>
          <t>Erst bei Series-A-Reife ansprechen und über den Emmi-AI-Exit anknüpfen: PathWize als DACH-Trainingsdaten-Infrastruktur für dieselbe europäische Foundation-Model-Welle.</t>
        </is>
      </c>
      <c r="X18" s="18" t="n">
        <v>22</v>
      </c>
      <c r="Y18" s="18" t="n">
        <v>21</v>
      </c>
      <c r="Z18" s="18" t="n">
        <v>11</v>
      </c>
      <c r="AA18" s="18" t="n">
        <v>7</v>
      </c>
      <c r="AB18" s="18" t="n">
        <v>10</v>
      </c>
      <c r="AC18" s="15" t="inlineStr">
        <is>
          <t>Mittel</t>
        </is>
      </c>
      <c r="AD18" s="15" t="inlineStr">
        <is>
          <t>Bestandsliste</t>
        </is>
      </c>
      <c r="AE18" s="16" t="inlineStr">
        <is>
          <t>https://three.vc/</t>
        </is>
      </c>
      <c r="AF18" s="16" t="inlineStr">
        <is>
          <t>https://three.vc/, https://three.vc/team/peter-lasinger/, https://three.vc/imprint/, https://at.linkedin.com/in/lasinger, https://www.crunchbase.com/person/peter-lasinger</t>
        </is>
      </c>
    </row>
    <row r="19">
      <c r="A19" s="22" t="n">
        <v>15</v>
      </c>
      <c r="B19" s="23" t="inlineStr">
        <is>
          <t>Simon Capital</t>
        </is>
      </c>
      <c r="C19" s="20" t="inlineStr">
        <is>
          <t>B</t>
        </is>
      </c>
      <c r="D19" s="20" t="n">
        <v>71</v>
      </c>
      <c r="E19" s="15" t="inlineStr">
        <is>
          <t>Duesseldorf (urspruenglich Bitburg/Bonn-Umfeld, Operations auch Berlin)</t>
        </is>
      </c>
      <c r="F19" s="18" t="inlineStr">
        <is>
          <t>DE</t>
        </is>
      </c>
      <c r="G19" s="15" t="inlineStr">
        <is>
          <t>VC (Family-backed, ehemals Bitburger Ventures)</t>
        </is>
      </c>
      <c r="H19" s="16" t="inlineStr">
        <is>
          <t>Seed bis Series A und darueber hinaus</t>
        </is>
      </c>
      <c r="I19" s="15" t="inlineStr">
        <is>
          <t>Ja (Minderheitsbeteiligungen von 5 bis 25 Prozent, agiert auch als Lead)</t>
        </is>
      </c>
      <c r="J19" s="16" t="inlineStr">
        <is>
          <t>EUR 0,5 bis 10 Mio.</t>
        </is>
      </c>
      <c r="K19" s="16" t="inlineStr">
        <is>
          <t>ca. EUR 105 Mio. investierbares Kapital</t>
        </is>
      </c>
      <c r="L19" s="15" t="inlineStr">
        <is>
          <t>Teilweise</t>
        </is>
      </c>
      <c r="M19" s="16" t="inlineStr">
        <is>
          <t>Drei Thesenfelder: Consumption (nachhaltige Food/Beverage-Innovation), Wellbeing (digitale Gesundheit) und Productivity (digitale Tools zur Vereinfachung komplexer Prozesse); starker Nachhaltigkeitsrahmen</t>
        </is>
      </c>
      <c r="N19" s="16" t="inlineStr">
        <is>
          <t>Neople (AI-Customer-Support-Agents), Vox.ai (Voice AI fuer Gastronomie), Liria (KI-gestuetzte Fahrzeuginspektion), Sastrify (SaaS-Procurement), Ordio (Workforce Management)</t>
        </is>
      </c>
      <c r="O19" s="16" t="inlineStr">
        <is>
          <t>Mittel: Mehrere KI-Anwendungsinvestments im Productivity-Cluster, aber keine belegten Investments in Data-Infrastruktur, MLOps oder Labeling</t>
        </is>
      </c>
      <c r="P19" s="16" t="inlineStr">
        <is>
          <t>-</t>
        </is>
      </c>
      <c r="Q19" s="16" t="inlineStr">
        <is>
          <t>Dr. Friedrich Droste</t>
        </is>
      </c>
      <c r="R19" s="16" t="inlineStr">
        <is>
          <t>Managing Partner (zweiter Managing Partner: Jan Leicht; Principals: Nico Heinz, Niklas Leske)</t>
        </is>
      </c>
      <c r="S19" s="16" t="inlineStr">
        <is>
          <t>n/a</t>
        </is>
      </c>
      <c r="T19" s="16" t="inlineStr">
        <is>
          <t>Kontaktformular unter https://www.simoncapital.com/ (keine oeffentliche Investment-E-Mail)</t>
        </is>
      </c>
      <c r="U19" s="16" t="inlineStr">
        <is>
          <t>Solider deutscher Seed-/Series-A-Fonds mit EUR 105 Mio. und mehreren KI-Anwendungsinvestments im Productivity-Cluster (Neople, Vox.ai, Liria), aber ohne Data-Infrastruktur-These und mit dominantem Consumer-/Nachhaltigkeitsrahmen.</t>
        </is>
      </c>
      <c r="V19" s="16" t="inlineStr">
        <is>
          <t>Kernidentitaet ist Consumption/Wellbeing mit Sustainability-Klammer; PathWize passt nur in das Nebenthema 'Productivity'; Data-Infra ist kein erklaertes Investmentfeld</t>
        </is>
      </c>
      <c r="W19" s="16" t="inlineStr">
        <is>
          <t>Unter der Productivity-These pitchen: PathWize macht KI-Automatisierung wie bei Neople und Vox.ai ueberhaupt erst produktionsreif, weil deren Modellqualitaet an sauber gelabelten Domaenendaten haengt.</t>
        </is>
      </c>
      <c r="X19" s="18" t="n">
        <v>26</v>
      </c>
      <c r="Y19" s="18" t="n">
        <v>16</v>
      </c>
      <c r="Z19" s="18" t="n">
        <v>11</v>
      </c>
      <c r="AA19" s="18" t="n">
        <v>8</v>
      </c>
      <c r="AB19" s="18" t="n">
        <v>10</v>
      </c>
      <c r="AC19" s="15" t="inlineStr">
        <is>
          <t>Mittel</t>
        </is>
      </c>
      <c r="AD19" s="15" t="inlineStr">
        <is>
          <t>Bestandsliste</t>
        </is>
      </c>
      <c r="AE19" s="16" t="inlineStr">
        <is>
          <t>https://www.simoncapital.com/</t>
        </is>
      </c>
      <c r="AF19" s="16" t="inlineStr">
        <is>
          <t>https://www.simoncapital.com/, https://www.crunchbase.com/organization/simon-capital, https://tracxn.com/d/venture-capital/simon-capital/__JD4QP7NeA9vcz_BNdpWxrRKg9mhabXY6nruEbbbEcXo, https://www.vestbee.com/lp-list/simon-capital-fka-bitburger-ventures</t>
        </is>
      </c>
    </row>
    <row r="20">
      <c r="A20" s="22" t="n">
        <v>16</v>
      </c>
      <c r="B20" s="23" t="inlineStr">
        <is>
          <t>Technologiegruenderfonds Sachsen</t>
        </is>
      </c>
      <c r="C20" s="20" t="inlineStr">
        <is>
          <t>B</t>
        </is>
      </c>
      <c r="D20" s="20" t="n">
        <v>71</v>
      </c>
      <c r="E20" s="15" t="inlineStr">
        <is>
          <t>Leipzig (Hainstrasse 4, 04109); Management durch CFH Management GmbH</t>
        </is>
      </c>
      <c r="F20" s="18" t="inlineStr">
        <is>
          <t>DE</t>
        </is>
      </c>
      <c r="G20" s="15" t="inlineStr">
        <is>
          <t>Public VC / oeffentlich-privat finanzierter Regionalfonds</t>
        </is>
      </c>
      <c r="H20" s="16" t="inlineStr">
        <is>
          <t>Seed und Early Stage (auch sehr fruehe Phasen bei ueberzeugendem Team), Folgefinanzierungen bis Series A</t>
        </is>
      </c>
      <c r="I20" s="15" t="inlineStr">
        <is>
          <t>Ja (haeufig Lead oder Co-Lead in saechsischen Seed-Runden, oft neben Business Angels)</t>
        </is>
      </c>
      <c r="J20" s="16" t="inlineStr">
        <is>
          <t>EUR 100k bis 1 Mio. pro Investment, Follow-on moeglich</t>
        </is>
      </c>
      <c r="K20" s="16" t="inlineStr">
        <is>
          <t>EUR 241,2 Mio. ueber drei Fondsgenerationen; dritte Generation seit 2023 aktiv; ueber 100 finanzierte Start-ups seit 2008</t>
        </is>
      </c>
      <c r="L20" s="15" t="inlineStr">
        <is>
          <t>Teilweise</t>
        </is>
      </c>
      <c r="M20" s="16" t="inlineStr">
        <is>
          <t>Wissensbasierte, technologieorientierte Start-ups in Sachsen: Software, Industrie 4.0, IoT, Big-Data-Analyse, Halbleiter, Deep Tech, Robotik, Energie, Materialwissenschaft, Biotech</t>
        </is>
      </c>
      <c r="N20" s="16" t="inlineStr">
        <is>
          <t>Data Virtuality (Datenintegration/Data Virtualization, Leipzig - inzwischen exited), EntwicklerHeld (Developer-Plattform), Volytica Diagnostics (KI-basierte Batteriediagnose), clarait, Peeriot, Last Mile Semiconductor, SweepMe</t>
        </is>
      </c>
      <c r="O20" s="16" t="inlineStr">
        <is>
          <t>Mittel bis hoch: Big-Data-Analyse ist ausdruecklich Thesenbestandteil und Data Virtuality sowie EntwicklerHeld belegen Data- und Dev-Tools-Erfahrung</t>
        </is>
      </c>
      <c r="P20" s="16" t="inlineStr">
        <is>
          <t>-</t>
        </is>
      </c>
      <c r="Q20" s="16" t="inlineStr">
        <is>
          <t>n/a (Investmentmanagement ueber CFH Management GmbH; kein einzelner Ansprechpartner oeffentlich hervorgehoben)</t>
        </is>
      </c>
      <c r="R20" s="16" t="inlineStr">
        <is>
          <t>n/a</t>
        </is>
      </c>
      <c r="S20" s="16" t="inlineStr">
        <is>
          <t>https://www.linkedin.com/company/tgfs/ (Firmenprofil)</t>
        </is>
      </c>
      <c r="T20" s="16" t="inlineStr">
        <is>
          <t>tgfs@tgfs.de, Telefon +49 341 2569630, Hainstrasse 4, 04109 Leipzig</t>
        </is>
      </c>
      <c r="U20" s="16" t="inlineStr">
        <is>
          <t>Aktiver Seed-Fonds mit EUR 241 Mio., dritter Fondsgeneration seit 2023 und belegter Data-/Dev-Tools-Historie (Data Virtuality, EntwicklerHeld) - aber die Foerderung ist hart an einen Unternehmenssitz beziehungsweise eine Betriebsstaette in Sachsen gebunden.</t>
        </is>
      </c>
      <c r="V20" s="16" t="inlineStr">
        <is>
          <t>Zwingende Sachsen-Bindung: ohne Sitz oder Betriebsstaette in Sachsen ist ein Investment ausgeschlossen; oeffentlicher Fonds mit foerderrechtlichen Auflagen und laengeren Entscheidungsprozessen; Ticket bis EUR 1 Mio. verlangt Syndikatspartner</t>
        </is>
      </c>
      <c r="W20" s="16" t="inlineStr">
        <is>
          <t>Nur mit konkretem Sachsen-Bezug ansprechen (zum Beispiel geplantes Labeling-/Operations-Team in Leipzig oder Dresden) und an die Big-Data- und Dev-Tools-Historie rund um Data Virtuality anknuepfen.</t>
        </is>
      </c>
      <c r="X20" s="18" t="n">
        <v>26</v>
      </c>
      <c r="Y20" s="18" t="n">
        <v>20</v>
      </c>
      <c r="Z20" s="18" t="n">
        <v>12</v>
      </c>
      <c r="AA20" s="18" t="n">
        <v>8</v>
      </c>
      <c r="AB20" s="18" t="n">
        <v>5</v>
      </c>
      <c r="AC20" s="15" t="inlineStr">
        <is>
          <t>Mittel</t>
        </is>
      </c>
      <c r="AD20" s="15" t="inlineStr">
        <is>
          <t>Bestandsliste</t>
        </is>
      </c>
      <c r="AE20" s="16" t="inlineStr">
        <is>
          <t>https://www.tgfs.de/ (weitergeleitet auf https://cfh.de/tgfs-start/)</t>
        </is>
      </c>
      <c r="AF20" s="16" t="inlineStr">
        <is>
          <t>https://cfh.de/tgfs-start/, https://www.cfh.de/en/tgfs-fokus/, https://www.crunchbase.com/organization/technologiegrnderfonds-sachsen, https://www.startbase.com/organization/tgfs-technologiegr-nderfonds-sachsen/, https://www.linkedin.com/company/tgfs/</t>
        </is>
      </c>
    </row>
    <row r="21">
      <c r="A21" s="22" t="n">
        <v>17</v>
      </c>
      <c r="B21" s="23" t="inlineStr">
        <is>
          <t>Bayern Kapital</t>
        </is>
      </c>
      <c r="C21" s="20" t="inlineStr">
        <is>
          <t>B</t>
        </is>
      </c>
      <c r="D21" s="20" t="n">
        <v>70</v>
      </c>
      <c r="E21" s="15" t="inlineStr">
        <is>
          <t>Landshut</t>
        </is>
      </c>
      <c r="F21" s="18" t="inlineStr">
        <is>
          <t>DE</t>
        </is>
      </c>
      <c r="G21" s="15" t="inlineStr">
        <is>
          <t>Public VC (Beteiligungsgesellschaft des Freistaats Bayern)</t>
        </is>
      </c>
      <c r="H21" s="16" t="inlineStr">
        <is>
          <t>Seed, Series A, Series B, Series C (Early-Stage- und Later-Stage-Programme, u.a. Seedfonds Bayern, Innovationsfonds EFRE II, Wachstumsfonds)</t>
        </is>
      </c>
      <c r="I21" s="15" t="inlineStr">
        <is>
          <t>Nein - grundsaetzlich Co-Investor pari passu mit einem privaten Lead-Investor</t>
        </is>
      </c>
      <c r="J21" s="16" t="inlineStr">
        <is>
          <t>250.000 EUR bis 50 Mio. EUR je Unternehmen; Seedfonds Bayern bis 750.000 EUR</t>
        </is>
      </c>
      <c r="K21" s="16" t="inlineStr">
        <is>
          <t>ca. 1,3 Mrd. EUR under Management; ueber 650 Mio. EUR in 380+ Startups investiert; Innovationsfonds EFRE II mit 20 Mio. EUR</t>
        </is>
      </c>
      <c r="L21" s="15" t="inlineStr">
        <is>
          <t>Teilweise</t>
        </is>
      </c>
      <c r="M21" s="16" t="inlineStr">
        <is>
          <t>Technologieoffen: Software/SaaS, Digitalwirtschaft, Industrie, Life Sciences, Medizintechnik, Climate Tech, New Space, Quantentechnologie, Kernfusion und explizit AI</t>
        </is>
      </c>
      <c r="N21" s="16" t="inlineStr">
        <is>
          <t>AI wird explizit als Investitionsfeld genannt; belegtes Beispiel: AVES Reality (3D-Digital-Twin-Spezialist, Erstinvestment Innovationsfonds EFRE II). 208+ Portfoliounternehmen, 18 Neuinvestments in den letzten 12 Monaten</t>
        </is>
      </c>
      <c r="O21" s="16" t="inlineStr">
        <is>
          <t>Mittel: AI ist erklaertes Themenfeld und Digital-Twin-/Simulationsinvestments sind trainingsdatennah, aber kein dediziertes Annotation-/MLOps-Portfolio</t>
        </is>
      </c>
      <c r="P21" s="16" t="inlineStr">
        <is>
          <t>-</t>
        </is>
      </c>
      <c r="Q21" s="16" t="inlineStr">
        <is>
          <t>n/a (Investment-Manager-Zuordnung nach Technologiefeld nicht oeffentlich)</t>
        </is>
      </c>
      <c r="R21" s="16" t="inlineStr">
        <is>
          <t>n/a</t>
        </is>
      </c>
      <c r="S21" s="16" t="inlineStr">
        <is>
          <t>n/a</t>
        </is>
      </c>
      <c r="T21" s="16" t="inlineStr">
        <is>
          <t>info@bayernkapital.de, Tel. +49 871 923250, 84028 Landshut</t>
        </is>
      </c>
      <c r="U21" s="16" t="inlineStr">
        <is>
          <t>Sehr aktiver und kapitalstarker DACH-Fruehphaseninvestor (1,3 Mrd. EUR AUM, 18 Neuinvestments in 12 Monaten), der AI explizit als Investitionsfeld nennt und Tickets bis 750k EUR im Seed schreibt. Der Haken ist die zwingende Bayern-Bindung.</t>
        </is>
      </c>
      <c r="V21" s="16" t="inlineStr">
        <is>
          <t>Investiert nur in Unternehmen mit Betriebsstaette in Bayern - fuer PathWize ausserhalb Bayerns ein K.-o.-Kriterium; fuehrt nie an, sondern verlangt einen privaten Lead-Investor; oeffentlich-rechtliche Prozesse und lange Due-Diligence-Zyklen</t>
        </is>
      </c>
      <c r="W21" s="16" t="inlineStr">
        <is>
          <t>Erst ansprechen, wenn ein privater Lead steht - dann als kapitalstarker Matching-Co-Investor fuer die AI-Vertikale, idealerweise flankiert von einem bayerischen Standort oder Entwicklungsteam.</t>
        </is>
      </c>
      <c r="X21" s="18" t="n">
        <v>24</v>
      </c>
      <c r="Y21" s="18" t="n">
        <v>17</v>
      </c>
      <c r="Z21" s="18" t="n">
        <v>12</v>
      </c>
      <c r="AA21" s="18" t="n">
        <v>10</v>
      </c>
      <c r="AB21" s="18" t="n">
        <v>7</v>
      </c>
      <c r="AC21" s="18" t="inlineStr">
        <is>
          <t>Hoch</t>
        </is>
      </c>
      <c r="AD21" s="15" t="inlineStr">
        <is>
          <t>Bestandsliste</t>
        </is>
      </c>
      <c r="AE21" s="16" t="inlineStr">
        <is>
          <t>https://www.bayernkapital.de/</t>
        </is>
      </c>
      <c r="AF21" s="16" t="inlineStr">
        <is>
          <t>https://bayernkapital.de/en/, https://bayernkapital.de/fuer-gruender/early-stage/, https://bayernkapital.de/en/bayern-kapital/investment-approach/, https://bayernkapital.de/news-events/bayern-kapital-innovationsfonds-efre-ii-bayerisches-wirtschaftsministerium-bayern-kapital-und-lfa-foerderbank-bayern-starten-neuen-fonds-3d-digital-twin-spezialist-aves-reality-sichert-sich-erstes-investment/</t>
        </is>
      </c>
    </row>
    <row r="22">
      <c r="A22" s="22" t="n">
        <v>18</v>
      </c>
      <c r="B22" s="23" t="inlineStr">
        <is>
          <t>heal capital</t>
        </is>
      </c>
      <c r="C22" s="20" t="inlineStr">
        <is>
          <t>B</t>
        </is>
      </c>
      <c r="D22" s="20" t="n">
        <v>70</v>
      </c>
      <c r="E22" s="15" t="inlineStr">
        <is>
          <t>Berlin</t>
        </is>
      </c>
      <c r="F22" s="15" t="inlineStr">
        <is>
          <t>Deutschland</t>
        </is>
      </c>
      <c r="G22" s="15" t="inlineStr">
        <is>
          <t>VC (Sektorfonds HealthTech; LP-Basis: 25+ private Krankenversicherer)</t>
        </is>
      </c>
      <c r="H22" s="16" t="inlineStr">
        <is>
          <t>Pre-Seed bis Series A</t>
        </is>
      </c>
      <c r="I22" s="15" t="inlineStr">
        <is>
          <t>Ja (fuehrt Frueh-Phasen-Runden im HealthTech an)</t>
        </is>
      </c>
      <c r="J22" s="16" t="inlineStr">
        <is>
          <t>EUR 1-5 Mio.</t>
        </is>
      </c>
      <c r="K22" s="16" t="inlineStr">
        <is>
          <t>n/a (nicht auf der Website ausgewiesen; getragen von 25+ privaten Krankenversicherern und institutionellen Healthcare-LPs)</t>
        </is>
      </c>
      <c r="L22" s="15" t="inlineStr">
        <is>
          <t>Teilweise</t>
        </is>
      </c>
      <c r="M22" s="16" t="inlineStr">
        <is>
          <t>Explizit: 'Digital health, AI, and software. Care delivery tools, patient apps, health system infrastructure' - Europa-Fokus, Zugang zum Gesundheitssystem als Kernversprechen.</t>
        </is>
      </c>
      <c r="N22" s="16" t="inlineStr">
        <is>
          <t>Apheris (Data-Infrastruktur fuer foederierte, kollaborative Datenoekosysteme/Federated ML - sehr nah an PathWize' Kategorie), Gleamer (Medical-Grade-AI fuer Radiologie), Hypervision Surgical (AI-Hyperspektralbildgebung), Infermedica (AI-Symptomchecker), Hema.to (Labor-Decision-Support), FormlyAI, Handshake Health</t>
        </is>
      </c>
      <c r="O22" s="16" t="inlineStr">
        <is>
          <t>Hoch innerhalb des Sektors: medizinische Bildgebungs-KI (Gleamer, Hypervision, Hema.to) ist einer der annotationsintensivsten Bereiche ueberhaupt; Apheris zeigt, dass der Fonds Daten-Infrastruktur als Kategorie versteht.</t>
        </is>
      </c>
      <c r="P22" s="16" t="inlineStr">
        <is>
          <t>Data-Infra-nah</t>
        </is>
      </c>
      <c r="Q22" s="16" t="inlineStr">
        <is>
          <t>Eckhardt Weber</t>
        </is>
      </c>
      <c r="R22" s="16" t="inlineStr">
        <is>
          <t>Founding Managing Partner (zweiter: Christian Lautner, Founding Managing Partner; Founding Partner: Dr. Markus Mueschenich)</t>
        </is>
      </c>
      <c r="S22" s="16" t="inlineStr">
        <is>
          <t>n/a</t>
        </is>
      </c>
      <c r="T22" s="16" t="inlineStr">
        <is>
          <t>Pitch-Formular: https://rs6yq4ccslh.typeform.com/to/ioitIG4d ; Rosenthaler Str. 49, 10178 Berlin</t>
        </is>
      </c>
      <c r="U22" s="16" t="inlineStr">
        <is>
          <t>Perfekter Stage-/Ticket-Fit (Pre-Seed bis Series A, EUR 1-5 Mio., Berlin) und mit Apheris ein belegtes Data-Infrastruktur-Investment - der Fonds investiert aber ausschliesslich in HealthTech.</t>
        </is>
      </c>
      <c r="V22" s="16" t="inlineStr">
        <is>
          <t>Striktes HealthTech-Mandat: ein horizontaler Labeling-Anbieter ohne klaren Medizin-Vertical passt nicht; Fondsvolumen nicht oeffentlich; LP-Basis (Versicherer) erwartet Gesundheitssystem-Relevanz.</t>
        </is>
      </c>
      <c r="W22" s="16" t="inlineStr">
        <is>
          <t>Mit einem Medical-Imaging-/Klinikdaten-Vertical einsteigen: annotierte Trainingsdaten und Human-in-the-loop-QA fuer regulierte Medizin-KI (Bruecke zu Gleamer, Hypervision Surgical, Apheris).</t>
        </is>
      </c>
      <c r="X22" s="18" t="n">
        <v>28</v>
      </c>
      <c r="Y22" s="18" t="n">
        <v>13</v>
      </c>
      <c r="Z22" s="18" t="n">
        <v>11</v>
      </c>
      <c r="AA22" s="18" t="n">
        <v>8</v>
      </c>
      <c r="AB22" s="18" t="n">
        <v>10</v>
      </c>
      <c r="AC22" s="18" t="inlineStr">
        <is>
          <t>Hoch</t>
        </is>
      </c>
      <c r="AD22" s="15" t="inlineStr">
        <is>
          <t>Bestandsliste</t>
        </is>
      </c>
      <c r="AE22" s="16" t="inlineStr">
        <is>
          <t>https://www.healcapital.com</t>
        </is>
      </c>
      <c r="AF22" s="16" t="inlineStr">
        <is>
          <t>https://www.healcapital.com/, https://www.healcapital.com/team, https://www.healcapital.com/portfolio</t>
        </is>
      </c>
    </row>
    <row r="23">
      <c r="A23" s="22" t="n">
        <v>19</v>
      </c>
      <c r="B23" s="23" t="inlineStr">
        <is>
          <t>STARTHUB Ventures</t>
        </is>
      </c>
      <c r="C23" s="20" t="inlineStr">
        <is>
          <t>B</t>
        </is>
      </c>
      <c r="D23" s="20" t="n">
        <v>70</v>
      </c>
      <c r="E23" s="15" t="inlineStr">
        <is>
          <t>Hamburg</t>
        </is>
      </c>
      <c r="F23" s="18" t="inlineStr">
        <is>
          <t>DE</t>
        </is>
      </c>
      <c r="G23" s="18" t="inlineStr">
        <is>
          <t>VC</t>
        </is>
      </c>
      <c r="H23" s="16" t="inlineStr">
        <is>
          <t>Pre-Seed (vereinzelt Seed)</t>
        </is>
      </c>
      <c r="I23" s="15" t="inlineStr">
        <is>
          <t>Selten (typischerweise Co-Investor in Pre-Seed-Syndikaten)</t>
        </is>
      </c>
      <c r="J23" s="16" t="inlineStr">
        <is>
          <t>n/a (Pre-Seed-typisch im niedrigen sechsstelligen Bereich)</t>
        </is>
      </c>
      <c r="K23" s="16" t="inlineStr">
        <is>
          <t>n/a (kein oeffentliches Fondsvolumen; ca. 16 Investments)</t>
        </is>
      </c>
      <c r="L23" s="15" t="inlineStr">
        <is>
          <t>Teilweise</t>
        </is>
      </c>
      <c r="M23" s="16" t="inlineStr">
        <is>
          <t>Digitale Unternehmen in HealthTech, LogTech, FinTech, B2B-Software und ausdruecklich Artificial Intelligence; besonders starkes Netzwerk in der internationalen Logistik</t>
        </is>
      </c>
      <c r="N23" s="16" t="inlineStr">
        <is>
          <t>ifesca (KI-basierte Energieprognose und -optimierung), zero44 (Schifffahrts-Emissionssoftware), Boxxport (Container-Marktplatz)</t>
        </is>
      </c>
      <c r="O23" s="16" t="inlineStr">
        <is>
          <t>Mittel: AI ist als Themenfeld genannt, die belegten Investments sind aber KI-Anwendungen in Logistik und Energie, keine Data-Infrastruktur</t>
        </is>
      </c>
      <c r="P23" s="16" t="inlineStr">
        <is>
          <t>-</t>
        </is>
      </c>
      <c r="Q23" s="16" t="inlineStr">
        <is>
          <t>Jan Frahnert</t>
        </is>
      </c>
      <c r="R23" s="16" t="inlineStr">
        <is>
          <t>Investor / Partner (weitere: Willem-Alexander Dous als Investor, Sascha Schubert als Venture Advisor)</t>
        </is>
      </c>
      <c r="S23" s="16" t="inlineStr">
        <is>
          <t>n/a</t>
        </is>
      </c>
      <c r="T23" s="16" t="inlineStr">
        <is>
          <t>Kontakt ueber https://www.starthub-ventures.com/ (Kontaktformular)</t>
        </is>
      </c>
      <c r="U23" s="16" t="inlineStr">
        <is>
          <t>Hamburger Pre-Seed-Investor, der AI und B2B-Software ausdruecklich als Fokusfelder nennt und mit ifesca ein KI-Investment belegt; die Investitionsfrequenz und Fondstransparenz sind allerdings schwach.</t>
        </is>
      </c>
      <c r="V23" s="16" t="inlineStr">
        <is>
          <t>Letztes dokumentiertes Investment November 2024 (ifesca) - aktuelle Aktivitaet unklar; kein offengelegtes Fondsvolumen; nur ca. 16 Investments insgesamt; screening von 1.500 bis 2.000 Startups pro Jahr bei sehr niedriger Abschlussquote</t>
        </is>
      </c>
      <c r="W23" s="16" t="inlineStr">
        <is>
          <t>Am Logistiknetzwerk andocken: PathWize kann Trainingsdaten fuer Logistik- und Supply-Chain-KI liefern - ein Feld, in dem STARTHUB ueber Boxxport und zero44 direkten Kundenzugang hat.</t>
        </is>
      </c>
      <c r="X23" s="18" t="n">
        <v>27</v>
      </c>
      <c r="Y23" s="18" t="n">
        <v>20</v>
      </c>
      <c r="Z23" s="18" t="n">
        <v>9</v>
      </c>
      <c r="AA23" s="18" t="n">
        <v>5</v>
      </c>
      <c r="AB23" s="18" t="n">
        <v>9</v>
      </c>
      <c r="AC23" s="15" t="inlineStr">
        <is>
          <t>Mittel</t>
        </is>
      </c>
      <c r="AD23" s="15" t="inlineStr">
        <is>
          <t>Bestandsliste</t>
        </is>
      </c>
      <c r="AE23" s="16" t="inlineStr">
        <is>
          <t>https://www.starthub-ventures.com/</t>
        </is>
      </c>
      <c r="AF23" s="16" t="inlineStr">
        <is>
          <t>https://www.starthub-ventures.com/, https://www.startbase.com/organization/starthub-ventures/, https://www.eu-startups.com/investor/starthub-ventures/, https://www.cbinsights.com/investor/starthub-ventures, https://pitchbook.com/profiles/investor/484661-53</t>
        </is>
      </c>
    </row>
    <row r="24">
      <c r="A24" s="22" t="n">
        <v>20</v>
      </c>
      <c r="B24" s="23" t="inlineStr">
        <is>
          <t>Atlantis Ventures</t>
        </is>
      </c>
      <c r="C24" s="20" t="inlineStr">
        <is>
          <t>B</t>
        </is>
      </c>
      <c r="D24" s="20" t="n">
        <v>69</v>
      </c>
      <c r="E24" s="15" t="inlineStr">
        <is>
          <t>Muenchen</t>
        </is>
      </c>
      <c r="F24" s="18" t="inlineStr">
        <is>
          <t>DE</t>
        </is>
      </c>
      <c r="G24" s="15" t="inlineStr">
        <is>
          <t>VC / privates Investmentvehikel</t>
        </is>
      </c>
      <c r="H24" s="16" t="inlineStr">
        <is>
          <t>Pre-Seed, Seed</t>
        </is>
      </c>
      <c r="I24" s="15" t="inlineStr">
        <is>
          <t>Teilweise - beteiligt sich meist als Co-Investor, Lead nicht durchgehend belegt</t>
        </is>
      </c>
      <c r="J24" s="16" t="inlineStr">
        <is>
          <t>100.000 EUR bis 1,5 Mio. EUR</t>
        </is>
      </c>
      <c r="K24" s="16" t="inlineStr">
        <is>
          <t>n/a (privates Vehikel, gegruendet 2021, ca. 24 Portfoliounternehmen)</t>
        </is>
      </c>
      <c r="L24" s="15" t="inlineStr">
        <is>
          <t>Teilweise</t>
        </is>
      </c>
      <c r="M24" s="16" t="inlineStr">
        <is>
          <t>SaaS, DeepTech und Sustainability mit starker Impact-Neigung; geografisch DACH, Nordics und UK, ergaenzt um weltweite Ausreisser-Teams</t>
        </is>
      </c>
      <c r="N24" s="16" t="inlineStr">
        <is>
          <t>Mozart AI (AI-Produkt), FINN (Mobility-SaaS); weitere Investments schwerpunktmaessig SaaS und Sustainability - keine dedizierten Data-Infra-/MLOps-Investments belegt</t>
        </is>
      </c>
      <c r="O24" s="16" t="inlineStr">
        <is>
          <t>Mittel-gering: SaaS-/DeepTech-Affinitaet vorhanden, aber keine erkennbare Data-Infrastruktur- oder Trainingsdaten-Historie</t>
        </is>
      </c>
      <c r="P24" s="16" t="inlineStr">
        <is>
          <t>Data-Infra-nah</t>
        </is>
      </c>
      <c r="Q24" s="16" t="inlineStr">
        <is>
          <t>Finn Theyntzler</t>
        </is>
      </c>
      <c r="R24" s="16" t="inlineStr">
        <is>
          <t>Founder</t>
        </is>
      </c>
      <c r="S24" s="16" t="inlineStr">
        <is>
          <t>n/a</t>
        </is>
      </c>
      <c r="T24" s="16" t="inlineStr">
        <is>
          <t>Ueber Website https://www.atlantis-ventures.com/ ; Pitch-Formular/E-Mail n/a</t>
        </is>
      </c>
      <c r="U24" s="16" t="inlineStr">
        <is>
          <t>Muenchner Pre-Seed-/Seed-Investor mit passendem Ticket von 100k bis 1,5 Mio. EUR und SaaS-/DeepTech-These sowie DACH-Fokus, aber ohne ausgewiesene AI-/Data-Infrastruktur-Spezialisierung. Solider Co-Investor, kein Anker.</t>
        </is>
      </c>
      <c r="V24" s="16" t="inlineStr">
        <is>
          <t>Privates Vehikel ohne veroeffentlichte Fondsgroesse - Follow-on-Kapazitaet unklar; starke Sustainability-/Impact-Neigung, in die reines Data Labeling nicht automatisch einzahlt; kleines Team</t>
        </is>
      </c>
      <c r="W24" s="16" t="inlineStr">
        <is>
          <t>Als DACH-SaaS-/DeepTech-Investor mit der B2B-Software-Oekonomik von PathWize ansprechen (wiederkehrende Umsaetze pro Annotationsprojekt) statt mit der Impact-Story.</t>
        </is>
      </c>
      <c r="X24" s="18" t="n">
        <v>27</v>
      </c>
      <c r="Y24" s="18" t="n">
        <v>18</v>
      </c>
      <c r="Z24" s="18" t="n">
        <v>8</v>
      </c>
      <c r="AA24" s="18" t="n">
        <v>6</v>
      </c>
      <c r="AB24" s="18" t="n">
        <v>10</v>
      </c>
      <c r="AC24" s="15" t="inlineStr">
        <is>
          <t>Mittel</t>
        </is>
      </c>
      <c r="AD24" s="15" t="inlineStr">
        <is>
          <t>Bestandsliste</t>
        </is>
      </c>
      <c r="AE24" s="16" t="inlineStr">
        <is>
          <t>https://www.atlantis-ventures.com/</t>
        </is>
      </c>
      <c r="AF24" s="16" t="inlineStr">
        <is>
          <t>https://www.atlantis-ventures.com/, https://www.atlantis-ventures.com/portfolio/, https://tracxn.com/d/venture-capital/atlantis-ventures/__aDghc_ohVy9iPicAGgMgdF2MbJ3o6rp5PuAqM9oxEvs, https://www.eu-startups.com/investor/atlantis-ventures/</t>
        </is>
      </c>
    </row>
    <row r="25">
      <c r="A25" s="22" t="n">
        <v>21</v>
      </c>
      <c r="B25" s="23" t="inlineStr">
        <is>
          <t>Founderful (ehem. Wingman Ventures)</t>
        </is>
      </c>
      <c r="C25" s="20" t="inlineStr">
        <is>
          <t>B</t>
        </is>
      </c>
      <c r="D25" s="20" t="n">
        <v>69</v>
      </c>
      <c r="E25" s="15" t="inlineStr">
        <is>
          <t>Zuerich</t>
        </is>
      </c>
      <c r="F25" s="15" t="inlineStr">
        <is>
          <t>Schweiz</t>
        </is>
      </c>
      <c r="G25" s="15" t="inlineStr">
        <is>
          <t>VC (Pre-Seed-Fonds)</t>
        </is>
      </c>
      <c r="H25" s="16" t="inlineStr">
        <is>
          <t>Pre-Seed (erste Finanzierungsrunde), teils Seed</t>
        </is>
      </c>
      <c r="I25" s="15" t="inlineStr">
        <is>
          <t>Ja - dezidierter Lead-/First-Cheque-Investor</t>
        </is>
      </c>
      <c r="J25" s="16" t="inlineStr">
        <is>
          <t>ca. 1 Mio. USD Pre-Seed, bis 2 Mio. USD Seed</t>
        </is>
      </c>
      <c r="K25" s="16" t="inlineStr">
        <is>
          <t>Fund II: 140 Mio. USD (Final Close Nov 2024, oversubscribed)</t>
        </is>
      </c>
      <c r="L25" s="15" t="inlineStr">
        <is>
          <t>Teilweise</t>
        </is>
      </c>
      <c r="M25" s="16" t="inlineStr">
        <is>
          <t>Schweizer Tech-Gruender (stark ETH-/EPFL-Spinouts): B2B-Software und Industrial Tech, Robotik/Industrieautomation, AI/ML, Computer Vision, Materialwissenschaften, Climate Tech</t>
        </is>
      </c>
      <c r="N25" s="16" t="inlineStr">
        <is>
          <t>Ethon AI (Computer Vision fuer Fertigungsqualitaet, Series A von Index Ventures), Archlet (Sourcing-Analytics), Corintis (Chip-Kuehlung), Chiral Nano, Wingtra, DePoly</t>
        </is>
      </c>
      <c r="O25" s="16" t="inlineStr">
        <is>
          <t>Indirekt: Ethon AI ist ein Computer-Vision-Fall, der auf annotierten Industriebilddaten beruht - kein direktes Labeling-/Trainingsdaten-Investment nachweisbar</t>
        </is>
      </c>
      <c r="P25" s="16" t="inlineStr">
        <is>
          <t>-</t>
        </is>
      </c>
      <c r="Q25" s="16" t="inlineStr">
        <is>
          <t>Alex Stoeckl</t>
        </is>
      </c>
      <c r="R25" s="16" t="inlineStr">
        <is>
          <t>Co-Founder &amp; Partner (zuvor Switzerland Lead bei Creathor Ventures); weitere Co-Founder: Pascal Mathis (GetYourGuide), Lukas Weder (EAT.ch)</t>
        </is>
      </c>
      <c r="S25" s="16" t="inlineStr">
        <is>
          <t>n/a</t>
        </is>
      </c>
      <c r="T25" s="16" t="inlineStr">
        <is>
          <t>Kein oeffentliches Pitch-Formular gefunden; Kontakt ueber founderful.com bzw. LinkedIn (linkedin.com/company/wingman-ag); Buero: Badenerstrasse 60, 8004 Zuerich</t>
        </is>
      </c>
      <c r="U25" s="16" t="inlineStr">
        <is>
          <t>Stage-seitig ideal (Lead im ersten institutionellen Check, frischer 140-Mio.-USD-Fonds) und AI/ML sowie Computer Vision sind explizit These - aber der Fonds investiert per Mandat ausschliesslich in Schweizer Startups, was PathWize als deutsches Unternehmen faktisch ausschliesst.</t>
        </is>
      </c>
      <c r="V25" s="16" t="inlineStr">
        <is>
          <t>Harte Geo-Beschraenkung auf die Schweiz (Swiss tech entrepreneurs / ETH-EPFL-Ecosystem); kein Data-Infra- oder Labeling-Track-Record; kein oeffentlicher Pitch-Kanal</t>
        </is>
      </c>
      <c r="W25" s="16" t="inlineStr">
        <is>
          <t>Nur sinnvoll mit Schweizer Anker (CH-Entitaet, ETH/EPFL-Kooperation oder Schweizer Co-Founder) - dann ueber die Computer-Vision-Linie von Ethon AI als 'Trainingsdaten-Layer fuer Industrial AI' andocken.</t>
        </is>
      </c>
      <c r="X25" s="18" t="n">
        <v>28</v>
      </c>
      <c r="Y25" s="18" t="n">
        <v>20</v>
      </c>
      <c r="Z25" s="18" t="n">
        <v>9</v>
      </c>
      <c r="AA25" s="18" t="n">
        <v>9</v>
      </c>
      <c r="AB25" s="18" t="n">
        <v>3</v>
      </c>
      <c r="AC25" s="18" t="inlineStr">
        <is>
          <t>Hoch</t>
        </is>
      </c>
      <c r="AD25" s="15" t="inlineStr">
        <is>
          <t>Bestandsliste</t>
        </is>
      </c>
      <c r="AE25" s="16" t="inlineStr">
        <is>
          <t>https://www.founderful.com/</t>
        </is>
      </c>
      <c r="AF25" s="16" t="inlineStr">
        <is>
          <t>https://www.founderful.com/, https://www.vestbee.com/insights/articles/founderful-closes-140-m-fund-ii, https://techcrunch.com/2024/02/12/founderful/, https://www.eu-startups.com/2024/11/zurich-based-founderful-closes-a-e133-million-fund-aiming-to-establish-a-strong-foothold-in-the-swiss-tech-ecosystem/</t>
        </is>
      </c>
    </row>
    <row r="26">
      <c r="A26" s="22" t="n">
        <v>22</v>
      </c>
      <c r="B26" s="23" t="inlineStr">
        <is>
          <t>Freigeist Capital</t>
        </is>
      </c>
      <c r="C26" s="20" t="inlineStr">
        <is>
          <t>B</t>
        </is>
      </c>
      <c r="D26" s="20" t="n">
        <v>68</v>
      </c>
      <c r="E26" s="18" t="inlineStr">
        <is>
          <t>Bonn</t>
        </is>
      </c>
      <c r="F26" s="15" t="inlineStr">
        <is>
          <t>Deutschland</t>
        </is>
      </c>
      <c r="G26" s="15" t="inlineStr">
        <is>
          <t>VC / Evergreen-Investor mit eigenem Kapital (kein klassischer LP-Fonds)</t>
        </is>
      </c>
      <c r="H26" s="16" t="inlineStr">
        <is>
          <t>Seed und Pre-Series A</t>
        </is>
      </c>
      <c r="I26" s="15" t="inlineStr">
        <is>
          <t>Ja - führt die wenigen getätigten Seed-Runden typischerweise an und begleitet sie sehr hands-on</t>
        </is>
      </c>
      <c r="J26" s="16" t="inlineStr">
        <is>
          <t>n/a (nicht veröffentlicht); Investment aus eigenem Kapital, dadurch schnelle Entscheidungen</t>
        </is>
      </c>
      <c r="K26" s="16" t="inlineStr">
        <is>
          <t>n/a - kein externer Fonds ausgewiesen; investiert eigenes Kapital der Partner</t>
        </is>
      </c>
      <c r="L26" s="15" t="inlineStr">
        <is>
          <t>Teilweise</t>
        </is>
      </c>
      <c r="M26" s="16" t="inlineStr">
        <is>
          <t>Europäische Deep-Tech-Frühphase: AI, Robotik, synthetische Biologie, Quantum Computing, Luft- und Raumfahrt, Automatisierung, saubere Energie. Bewusst nur 1 bis 2 Investments pro Jahr für maximale 360-Grad-Begleitung.</t>
        </is>
      </c>
      <c r="N26" s="16" t="inlineStr">
        <is>
          <t>xentral (ERP-Software), RobCo (modulare Industrierobotik mit ML-Komponenten), Pitch, Lilium, EnduroSat, Kraftblock; AI wird als Fokusbereich genannt, es fehlen jedoch dedizierte Data-Infrastruktur-Investments</t>
        </is>
      </c>
      <c r="O26" s="16" t="inlineStr">
        <is>
          <t>Mittel: AI und Robotik sind explizite Fokusfelder (Robotik erzeugt hohen Annotationsbedarf), aber es gibt kein belegtes Data-Infrastruktur- oder Labeling-Investment.</t>
        </is>
      </c>
      <c r="P26" s="16" t="inlineStr">
        <is>
          <t>Data-Infra-nah</t>
        </is>
      </c>
      <c r="Q26" s="16" t="inlineStr">
        <is>
          <t>Frank Thelen</t>
        </is>
      </c>
      <c r="R26" s="16" t="inlineStr">
        <is>
          <t>Gründer und CEO, Zuständigkeit Product &amp; Brand (weiterer relevanter Ansprechpartner: Niklas Hebborn, Funding Progression)</t>
        </is>
      </c>
      <c r="S26" s="16" t="inlineStr">
        <is>
          <t>https://www.linkedin.com/in/frank-thelen/</t>
        </is>
      </c>
      <c r="T26" s="16" t="inlineStr">
        <is>
          <t>Kontaktseite: https://freigeist.com/contact/ ; direkte Pitch-E-Mail: n/a</t>
        </is>
      </c>
      <c r="U26" s="16" t="inlineStr">
        <is>
          <t>Freigeist ist ein deutscher Seed-Deep-Tech-Investor mit AI und Robotik als expliziten Fokusfeldern und hoher medialer Sichtbarkeit, tätigt aber nur 1 bis 2 Investments pro Jahr ohne externen Fonds - die Trefferwahrscheinlichkeit ist entsprechend gering.</t>
        </is>
      </c>
      <c r="V26" s="16" t="inlineStr">
        <is>
          <t>Extrem selektiv (1 bis 2 Deals/Jahr), kein institutioneller Fonds und damit begrenztes Follow-on-Volumen, Schwerpunkt auf Hardware-/Frontier-Deep-Tech statt Software-Infrastruktur. Keine offengelegte Ticketgröße.</t>
        </is>
      </c>
      <c r="W26" s="16" t="inlineStr">
        <is>
          <t>Über den Robotik-/Physical-AI-Winkel ansprechen: PathWize liefert die annotierten Trainingsdaten, ohne die Freigeist-Investments wie RobCo ihre Modelle nicht trainieren können.</t>
        </is>
      </c>
      <c r="X26" s="18" t="n">
        <v>24</v>
      </c>
      <c r="Y26" s="18" t="n">
        <v>20</v>
      </c>
      <c r="Z26" s="18" t="n">
        <v>9</v>
      </c>
      <c r="AA26" s="18" t="n">
        <v>5</v>
      </c>
      <c r="AB26" s="18" t="n">
        <v>10</v>
      </c>
      <c r="AC26" s="15" t="inlineStr">
        <is>
          <t>Mittel</t>
        </is>
      </c>
      <c r="AD26" s="15" t="inlineStr">
        <is>
          <t>Bestandsliste</t>
        </is>
      </c>
      <c r="AE26" s="16" t="inlineStr">
        <is>
          <t>https://freigeist.com/</t>
        </is>
      </c>
      <c r="AF26" s="16" t="inlineStr">
        <is>
          <t>https://freigeist.com/, https://freigeist.com/team/frank-thelen/, https://www.linkedin.com/in/frank-thelen/, https://hub.waveup.com/funds/freigeist, https://www.crunchbase.com/organization/e42-ventures</t>
        </is>
      </c>
    </row>
    <row r="27">
      <c r="A27" s="22" t="n">
        <v>23</v>
      </c>
      <c r="B27" s="23" t="inlineStr">
        <is>
          <t>Heartfelt</t>
        </is>
      </c>
      <c r="C27" s="20" t="inlineStr">
        <is>
          <t>B</t>
        </is>
      </c>
      <c r="D27" s="20" t="n">
        <v>68</v>
      </c>
      <c r="E27" s="15" t="inlineStr">
        <is>
          <t>Berlin</t>
        </is>
      </c>
      <c r="F27" s="15" t="inlineStr">
        <is>
          <t>Deutschland</t>
        </is>
      </c>
      <c r="G27" s="15" t="inlineStr">
        <is>
          <t>Pre-Seed-Fonds ('Europe's First Cheque Fund'; Ankerinvestoren Axel Springer und Porsche)</t>
        </is>
      </c>
      <c r="H27" s="16" t="inlineStr">
        <is>
          <t>Pre-Seed / First Cheque (0 auf 1, vor Product-Market-Fit), plus Follow-ons</t>
        </is>
      </c>
      <c r="I27" s="15" t="inlineStr">
        <is>
          <t>Nein/selten (Erst-Ticket EUR 100-400k, investiert solo oder neben anderen Frueh-Investoren)</t>
        </is>
      </c>
      <c r="J27" s="16" t="inlineStr">
        <is>
          <t>EUR 100.000 - 400.000 Initial, Follow-on-Kapazitaet in Folgerunden</t>
        </is>
      </c>
      <c r="K27" s="16" t="inlineStr">
        <is>
          <t>n/a (nicht auf der Website ausgewiesen)</t>
        </is>
      </c>
      <c r="L27" s="15" t="inlineStr">
        <is>
          <t>Teilweise</t>
        </is>
      </c>
      <c r="M27" s="16" t="inlineStr">
        <is>
          <t>Sektoragnostisch: 'exceptional founders building transformative companies across Europe and the US'; ueber 300 Erst-Investments in einer Dekade, Netzwerkzugang zu Axel Springer und Porsche.</t>
        </is>
      </c>
      <c r="N27" s="16" t="inlineStr">
        <is>
          <t>DeepL (Neural-Machine-Translation - eines der bekanntesten europaeischen AI-Modellunternehmen), Colossyan (generative AI-Video), Qualifyze (Audit-/Compliance-Daten), N26, getquin, Charles, Greenlyte</t>
        </is>
      </c>
      <c r="O27" s="16" t="inlineStr">
        <is>
          <t>Mittel-hoch: mit DeepL und Colossyan hat der Fonds echte AI-Modell-Companies begleitet und versteht deren Trainingsdaten-Bedarf; eine explizite Data-Infra-These fehlt aber.</t>
        </is>
      </c>
      <c r="P27" s="16" t="inlineStr">
        <is>
          <t>-</t>
        </is>
      </c>
      <c r="Q27" s="16" t="inlineStr">
        <is>
          <t>n/a (Team von 9 Investment-Professionals; keine Namen/Rollen auf der Website ausgewiesen)</t>
        </is>
      </c>
      <c r="R27" s="16" t="inlineStr">
        <is>
          <t>n/a</t>
        </is>
      </c>
      <c r="S27" s="16" t="inlineStr">
        <is>
          <t>n/a</t>
        </is>
      </c>
      <c r="T27" s="16" t="inlineStr">
        <is>
          <t>https://pitch.heartfelt.vc (Pitch-Deck-Upload)</t>
        </is>
      </c>
      <c r="U27" s="16" t="inlineStr">
        <is>
          <t>Sektoragnostischer Berliner Pre-Seed-Fonds mit DeepL und Colossyan im Track-Record und offenem, niedrigschwelligem Pitch-Prozess - die kleinen Erst-Tickets (EUR 100-400k) reichen jedoch nicht fuer eine Lead-Rolle.</t>
        </is>
      </c>
      <c r="V27" s="16" t="inlineStr">
        <is>
          <t>Sehr kleines Erst-Ticket, kein Lead; Fondsvolumen und Teamnamen nicht oeffentlich; Corporate-Ankerinvestoren (Axel Springer, Porsche) koennen strategische Erwartungen mitbringen.</t>
        </is>
      </c>
      <c r="W27" s="16" t="inlineStr">
        <is>
          <t>Ueber pitch.heartfelt.vc als First-Cheque-Case einreichen und explizit an das DeepL-Erbe anknuepfen: europaeische AI-Modelle brauchen europaeische, compliance-faehige Trainingsdaten.</t>
        </is>
      </c>
      <c r="X27" s="18" t="n">
        <v>22</v>
      </c>
      <c r="Y27" s="18" t="n">
        <v>16</v>
      </c>
      <c r="Z27" s="18" t="n">
        <v>12</v>
      </c>
      <c r="AA27" s="18" t="n">
        <v>8</v>
      </c>
      <c r="AB27" s="18" t="n">
        <v>10</v>
      </c>
      <c r="AC27" s="15" t="inlineStr">
        <is>
          <t>Mittel</t>
        </is>
      </c>
      <c r="AD27" s="15" t="inlineStr">
        <is>
          <t>Bestandsliste</t>
        </is>
      </c>
      <c r="AE27" s="16" t="inlineStr">
        <is>
          <t>https://heartfelt.vc</t>
        </is>
      </c>
      <c r="AF27" s="16" t="inlineStr">
        <is>
          <t>https://heartfelt.vc/, https://pitch.heartfelt.vc/</t>
        </is>
      </c>
    </row>
    <row r="28">
      <c r="A28" s="22" t="n">
        <v>24</v>
      </c>
      <c r="B28" s="23" t="inlineStr">
        <is>
          <t>PT1 Ventures (ehemals PropTech1)</t>
        </is>
      </c>
      <c r="C28" s="20" t="inlineStr">
        <is>
          <t>B</t>
        </is>
      </c>
      <c r="D28" s="20" t="n">
        <v>68</v>
      </c>
      <c r="E28" s="15" t="inlineStr">
        <is>
          <t>Berlin (zusätzlich London)</t>
        </is>
      </c>
      <c r="F28" s="15" t="inlineStr">
        <is>
          <t>Deutschland</t>
        </is>
      </c>
      <c r="G28" s="18" t="inlineStr">
        <is>
          <t>VC</t>
        </is>
      </c>
      <c r="H28" s="16" t="inlineStr">
        <is>
          <t>Pre-Seed, Seed, Series A</t>
        </is>
      </c>
      <c r="I28" s="15" t="inlineStr">
        <is>
          <t>Ja — co-leadet Runden mit Tickets bis 4 Mio. EUR</t>
        </is>
      </c>
      <c r="J28" s="16" t="inlineStr">
        <is>
          <t>300.000 - 4 Mio. EUR Erstinvestment</t>
        </is>
      </c>
      <c r="K28" s="16" t="inlineStr">
        <is>
          <t>n/a (Fondsvolumen nicht publiziert); 30+ Portfoliounternehmen</t>
        </is>
      </c>
      <c r="L28" s="15" t="inlineStr">
        <is>
          <t>Teilweise</t>
        </is>
      </c>
      <c r="M28" s="16" t="inlineStr">
        <is>
          <t>Real-Asset-Technologien: Elektrifizierung &amp; Energiewende, Built World AI &amp; Automation, Klima- und Infrastruktur-Resilienz; explizite Investment-These 'AI, Robotics &amp; Automation' mit der Begründung, LLMs hätten für den produktiven Einsatz in den meisten Sektoren die kritische Masse erreicht</t>
        </is>
      </c>
      <c r="N28" s="16" t="inlineStr">
        <is>
          <t>autarc (KI-gestützte Wärmepumpenplanung), PlanRadar (Bau-Digitalisierung), Climate X (Klimarisiko-Datenanalytik), ecoworks (Sanierungs-Automatisierung); kein Data-Infrastruktur- oder MLOps-Investment im engeren Sinne</t>
        </is>
      </c>
      <c r="O28" s="16" t="inlineStr">
        <is>
          <t>Mittel — PT1 versteht AI als Investmentthema und finanziert Vision-/Automatisierungs-Anwendungen im Bau- und Energiebereich, die annotierte Bild-, Scan- und Sensordaten benötigen; ein horizontaler Labeling-Anbieter fällt aber neben das Real-Asset-Mandat</t>
        </is>
      </c>
      <c r="P28" s="16" t="inlineStr">
        <is>
          <t>Data-Infra-nah</t>
        </is>
      </c>
      <c r="Q28" s="16" t="inlineStr">
        <is>
          <t>Nikolas Samios</t>
        </is>
      </c>
      <c r="R28" s="16" t="inlineStr">
        <is>
          <t>Managing Partner &amp; Co-Founder (Fokus Seed/Pre-Seed in Real-Asset-Technologien); zweite Managing Partnerin: Anja Rath</t>
        </is>
      </c>
      <c r="S28" s="16" t="inlineStr">
        <is>
          <t>n/a</t>
        </is>
      </c>
      <c r="T28" s="16" t="inlineStr">
        <is>
          <t>Pitch über den 'Pitch us'-Bereich auf pt1.vc</t>
        </is>
      </c>
      <c r="U28" s="16" t="inlineStr">
        <is>
          <t>PT1 nennt 'AI, Robotics &amp; Automation' explizit als eigene Investment-These und passt bei Stage (Pre-Seed bis Series A) und Ticket (300k-4M EUR) sehr gut, bindet AI aber konsequent an die vertikalen Endmärkte Energie, Gebäude und Infrastruktur.</t>
        </is>
      </c>
      <c r="V28" s="16" t="inlineStr">
        <is>
          <t>Vertikales Mandat: horizontale Data-Infrastruktur ohne Real-Asset-Bezug fällt vermutlich aus dem Investmentprofil; Fondsvolumen nicht öffentlich; PropTech-Erbe kann zu enger Wahrnehmung des Fonds führen</t>
        </is>
      </c>
      <c r="W28" s="16" t="inlineStr">
        <is>
          <t>Vertikal einsteigen: PathWize als Annotationspartner für Gebäude-Scans, Sensor- und Drohnendaten, ohne den ihre Built-World-AI- und Automatisierungs-Portfoliofirmen ihre Modelle nicht trainiert bekommen.</t>
        </is>
      </c>
      <c r="X28" s="18" t="n">
        <v>28</v>
      </c>
      <c r="Y28" s="18" t="n">
        <v>14</v>
      </c>
      <c r="Z28" s="18" t="n">
        <v>8</v>
      </c>
      <c r="AA28" s="18" t="n">
        <v>8</v>
      </c>
      <c r="AB28" s="18" t="n">
        <v>10</v>
      </c>
      <c r="AC28" s="15" t="inlineStr">
        <is>
          <t>Mittel</t>
        </is>
      </c>
      <c r="AD28" s="15" t="inlineStr">
        <is>
          <t>Bestandsliste</t>
        </is>
      </c>
      <c r="AE28" s="16" t="inlineStr">
        <is>
          <t>https://pt1.vc/</t>
        </is>
      </c>
      <c r="AF28" s="16" t="inlineStr">
        <is>
          <t>https://pt1.vc/, https://theorg.com/org/proptech1-ventures/org-chart/nikolas-samios, https://www.crunchbase.com/organization/proptech1-ventures</t>
        </is>
      </c>
    </row>
    <row r="29">
      <c r="A29" s="22" t="n">
        <v>25</v>
      </c>
      <c r="B29" s="23" t="inlineStr">
        <is>
          <t>TRUMPF Venture</t>
        </is>
      </c>
      <c r="C29" s="20" t="inlineStr">
        <is>
          <t>B</t>
        </is>
      </c>
      <c r="D29" s="20" t="n">
        <v>68</v>
      </c>
      <c r="E29" s="15" t="inlineStr">
        <is>
          <t>Ditzingen (bei Stuttgart)</t>
        </is>
      </c>
      <c r="F29" s="15" t="inlineStr">
        <is>
          <t>Deutschland</t>
        </is>
      </c>
      <c r="G29" s="15" t="inlineStr">
        <is>
          <t>Corporate VC (TRUMPF-Gruppe)</t>
        </is>
      </c>
      <c r="H29" s="16" t="inlineStr">
        <is>
          <t>Frühphase: Seed bis Series A (global, Schwerpunkt Europa)</t>
        </is>
      </c>
      <c r="I29" s="15" t="inlineStr">
        <is>
          <t>Teilweise – meist Co-Investor an der Seite von Finanz-VCs</t>
        </is>
      </c>
      <c r="J29" s="16" t="inlineStr">
        <is>
          <t>n/a (Quellenangaben widersprüchlich; typisch Frühphasen-Tickets, Angabe '25–50 TEUR' auf OpenVC unplausibel)</t>
        </is>
      </c>
      <c r="K29" s="16" t="inlineStr">
        <is>
          <t>n/a (zweiter Fonds aufgelegt; &gt;20 Investments seit 2016, davon 4 Fund-of-Funds)</t>
        </is>
      </c>
      <c r="L29" s="15" t="inlineStr">
        <is>
          <t>Teilweise</t>
        </is>
      </c>
      <c r="M29" s="16" t="inlineStr">
        <is>
          <t>Deep Tech nah am TRUMPF-Kern: Photonik &amp; Lasertechnik, Fertigungstechnologie, Sensorik &amp; Automation, Connectivity &amp; Computing, Quantentechnologie, Cybersecurity, Nachhaltigkeit – inkl. AI-getriebener Automatisierung</t>
        </is>
      </c>
      <c r="N29" s="16" t="inlineStr">
        <is>
          <t>NNAISENSE (neuronale Netze für industrielle Automatisierung/Prozesssteuerung), Threedy (Visual Computing / 3D-Datenplattform), 3YOURMIND (Software für additive Fertigung), Peers (AI-basierte Lernpfade), L7 Defense (unsupervised ML für API-Security), Cyr3con (AI-Security, 2021 divestiert)</t>
        </is>
      </c>
      <c r="O29" s="16" t="inlineStr">
        <is>
          <t>Mittel – belegter Appetit auf ML-/Computer-Vision-Software (NNAISENSE, Threedy); industrielle Vision-Modelle brauchen annotierte Trainingsdaten, aber kein Labeling-Investment belegt</t>
        </is>
      </c>
      <c r="P29" s="16" t="inlineStr">
        <is>
          <t>Data-Infra-nah</t>
        </is>
      </c>
      <c r="Q29" s="16" t="inlineStr">
        <is>
          <t>n/a</t>
        </is>
      </c>
      <c r="R29" s="16" t="inlineStr">
        <is>
          <t>n/a</t>
        </is>
      </c>
      <c r="S29" s="16" t="inlineStr">
        <is>
          <t>n/a</t>
        </is>
      </c>
      <c r="T29" s="16" t="inlineStr">
        <is>
          <t>n/a (Kontaktformular über trumpf.com/TRUMPF Venture)</t>
        </is>
      </c>
      <c r="U29" s="16" t="inlineStr">
        <is>
          <t>Frühphasen-Corporate-VC in Deutschland mit belegten ML-/Computer-Vision-Investments (NNAISENSE, Threedy) und industriellem Vision-Bedarf. Die These ist jedoch stark an den TRUMPF-Kern (Photonik, Fertigung) gebunden, nicht an horizontale Data-Infrastruktur.</t>
        </is>
      </c>
      <c r="V29" s="16" t="inlineStr">
        <is>
          <t>Strategischer Fit zum TRUMPF-Kerngeschäft ist Pflichtkriterium; Corporate-VC-Prozesse langsam; Ticketgrößen nicht transparent kommuniziert</t>
        </is>
      </c>
      <c r="W29" s="16" t="inlineStr">
        <is>
          <t>PathWize als Trainingsdaten-Layer für industrielle Computer Vision und Qualitätsinspektion in der Smart Factory pitchen – mit konkretem TRUMPF-Use-Case (Bauteil-/Schweißnahtannotation).</t>
        </is>
      </c>
      <c r="X29" s="18" t="n">
        <v>24</v>
      </c>
      <c r="Y29" s="18" t="n">
        <v>15</v>
      </c>
      <c r="Z29" s="18" t="n">
        <v>12</v>
      </c>
      <c r="AA29" s="18" t="n">
        <v>7</v>
      </c>
      <c r="AB29" s="18" t="n">
        <v>10</v>
      </c>
      <c r="AC29" s="15" t="inlineStr">
        <is>
          <t>Mittel</t>
        </is>
      </c>
      <c r="AD29" s="15" t="inlineStr">
        <is>
          <t>Bestandsliste</t>
        </is>
      </c>
      <c r="AE29" s="16" t="inlineStr">
        <is>
          <t>https://www.trumpf.com/de_DE/unternehmen/weitere-taetigkeitsfelder/trumpf-venture/</t>
        </is>
      </c>
      <c r="AF29" s="16" t="inlineStr">
        <is>
          <t>https://www.trumpf.com/en_US/company/additional-fields-of-activity/trumpf-venture/portfolio/, https://www.startbase.com/organization/trumpf-venture/, https://www.crunchbase.com/organization/trumpf-venture</t>
        </is>
      </c>
    </row>
    <row r="30">
      <c r="A30" s="22" t="n">
        <v>26</v>
      </c>
      <c r="B30" s="23" t="inlineStr">
        <is>
          <t>Green Generation Fund</t>
        </is>
      </c>
      <c r="C30" s="20" t="inlineStr">
        <is>
          <t>B</t>
        </is>
      </c>
      <c r="D30" s="20" t="n">
        <v>67</v>
      </c>
      <c r="E30" s="15" t="inlineStr">
        <is>
          <t>Berlin</t>
        </is>
      </c>
      <c r="F30" s="15" t="inlineStr">
        <is>
          <t>Deutschland</t>
        </is>
      </c>
      <c r="G30" s="15" t="inlineStr">
        <is>
          <t>VC (Early Stage, Impact/FoodTech-EnergyTech)</t>
        </is>
      </c>
      <c r="H30" s="16" t="inlineStr">
        <is>
          <t>Pre-Seed bis Series A</t>
        </is>
      </c>
      <c r="I30" s="15" t="inlineStr">
        <is>
          <t>Ja (arbeitet 'hands-on' ab Pre-Seed, Lead-faehige Ticketgroesse)</t>
        </is>
      </c>
      <c r="J30" s="16" t="inlineStr">
        <is>
          <t>EUR 500k bis EUR 2,5 Mio.</t>
        </is>
      </c>
      <c r="K30" s="16" t="inlineStr">
        <is>
          <t>n/a (nicht auf der Website ausgewiesen; unterstuetzt durch InvestEU/EU-Garantie, KfW Capital Award 2022 'Best Investor')</t>
        </is>
      </c>
      <c r="L30" s="15" t="inlineStr">
        <is>
          <t>Teilweise</t>
        </is>
      </c>
      <c r="M30" s="16" t="inlineStr">
        <is>
          <t>'Investing in the industries the world depends on': Food, Agriculture, Energy, Resources - umgesetzt ueber drei Querschnittsthemen Deep Tech (Energie, Space, Robotik, SynBio), Artificial Intelligence und Consumer &amp; Marketplaces. Geo: 70% Europa, 30% global.</t>
        </is>
      </c>
      <c r="N30" s="16" t="inlineStr">
        <is>
          <t>Orbify (Geospatial-Data-Plattform), Hexafarms (AI-gesteuerte Gewaechshaus-Optimierung), Greenlyte, NoMaze; AI ist explizit als eigenes Investmentthema auf der Website ausgewiesen</t>
        </is>
      </c>
      <c r="O30" s="16" t="inlineStr">
        <is>
          <t>Mittel: AI wird explizit adressiert, aber immer angewandt auf Food/Agri/Energy - horizontale Labeling-Infrastruktur waere ein Grenzfall (am ehesten ueber Geospatial-/Agri-Vision-Annotation).</t>
        </is>
      </c>
      <c r="P30" s="16" t="inlineStr">
        <is>
          <t>Data-Infra-nah</t>
        </is>
      </c>
      <c r="Q30" s="16" t="inlineStr">
        <is>
          <t>Manon Littek</t>
        </is>
      </c>
      <c r="R30" s="16" t="inlineStr">
        <is>
          <t>Gruenderin / General Partner (nicht auf der aktuell abrufbaren Website belegt - Teamseite liefert 404)</t>
        </is>
      </c>
      <c r="S30" s="16" t="inlineStr">
        <is>
          <t>n/a</t>
        </is>
      </c>
      <c r="T30" s="16" t="inlineStr">
        <is>
          <t>Kontakt-E-Mail auf https://www.ggf.vc (Adresse auf der Seite verschleiert), Zehdenickerstrasse 12c, 10119 Berlin</t>
        </is>
      </c>
      <c r="U30" s="16" t="inlineStr">
        <is>
          <t>Berliner Pre-Seed-bis-Series-A-Fonds mit passendem Ticket (EUR 0,5-2,5 Mio.) und explizitem AI-Investmentthema, allerdings nur als Enabler fuer Food-, Agrar- und Energiesektoren.</t>
        </is>
      </c>
      <c r="V30" s="16" t="inlineStr">
        <is>
          <t>Sektormandat (Food/Agri/Energy/Resources) und Impact-/Artikel-9-Logik koennten eine horizontale Data-Labeling-Firma ausschliessen; Fondsgroesse und Teamseite nicht oeffentlich abrufbar (404).</t>
        </is>
      </c>
      <c r="W30" s="16" t="inlineStr">
        <is>
          <t>Ueber die Impact-Bruecke ansprechen: PathWize als Trainingsdaten-Infrastruktur fuer Agrar-/Energie-Computer-Vision (Anschluss an Orbify und Hexafarms).</t>
        </is>
      </c>
      <c r="X30" s="18" t="n">
        <v>27</v>
      </c>
      <c r="Y30" s="18" t="n">
        <v>13</v>
      </c>
      <c r="Z30" s="18" t="n">
        <v>9</v>
      </c>
      <c r="AA30" s="18" t="n">
        <v>8</v>
      </c>
      <c r="AB30" s="18" t="n">
        <v>10</v>
      </c>
      <c r="AC30" s="15" t="inlineStr">
        <is>
          <t>Mittel</t>
        </is>
      </c>
      <c r="AD30" s="15" t="inlineStr">
        <is>
          <t>Bestandsliste</t>
        </is>
      </c>
      <c r="AE30" s="16" t="inlineStr">
        <is>
          <t>https://www.ggf.vc</t>
        </is>
      </c>
      <c r="AF30" s="16" t="inlineStr">
        <is>
          <t>https://www.ggf.vc/, https://www.greengenerationfund.com/ (Redirect auf ggf.vc)</t>
        </is>
      </c>
    </row>
    <row r="31">
      <c r="A31" s="22" t="n">
        <v>27</v>
      </c>
      <c r="B31" s="23" t="inlineStr">
        <is>
          <t>Monkfish Equity</t>
        </is>
      </c>
      <c r="C31" s="20" t="inlineStr">
        <is>
          <t>B</t>
        </is>
      </c>
      <c r="D31" s="20" t="n">
        <v>67</v>
      </c>
      <c r="E31" s="15" t="inlineStr">
        <is>
          <t>Leipzig (c/o SpinLab, Spinnereistrasse 7)</t>
        </is>
      </c>
      <c r="F31" s="15" t="inlineStr">
        <is>
          <t>Deutschland</t>
        </is>
      </c>
      <c r="G31" s="15" t="inlineStr">
        <is>
          <t>Micro-VC / Gruender-Fonds (Investmentvehikel der trivago-Gruender)</t>
        </is>
      </c>
      <c r="H31" s="16" t="inlineStr">
        <is>
          <t>Pre-Seed und Seed, Folgeinvestments bis Series A/B</t>
        </is>
      </c>
      <c r="I31" s="15" t="inlineStr">
        <is>
          <t>Teilweise - positioniert sich mit schlanken Terms und schnellen Entscheidungen, oft als frueher Co-Investor</t>
        </is>
      </c>
      <c r="J31" s="16" t="inlineStr">
        <is>
          <t>n/a (Micro-VC-Tickets, Website nennt keine Spanne)</t>
        </is>
      </c>
      <c r="K31" s="16" t="inlineStr">
        <is>
          <t>n/a; 53 Portfoliounternehmen, darunter 5 Unicorns</t>
        </is>
      </c>
      <c r="L31" s="15" t="inlineStr">
        <is>
          <t>Teilweise</t>
        </is>
      </c>
      <c r="M31" s="16" t="inlineStr">
        <is>
          <t>Techgetrieben und generalistisch: SaaS, Consumer, E-Commerce, Marktplaetze, Travel, Logistik, Fintech, Health, Biotech, Climate. Investiert in Deutschland und den USA.</t>
        </is>
      </c>
      <c r="N31" s="16" t="inlineStr">
        <is>
          <t>Keine dedizierte AI-These dokumentiert; breites Tech-/SaaS-Portfolio mit 53 Beteiligungen, konkrete Data-Infra-/MLOps-Namen n/a.</t>
        </is>
      </c>
      <c r="O31" s="16" t="inlineStr">
        <is>
          <t>Mittel-gering: Gruenderhintergrund (trivago) bringt starkes Verstaendnis fuer datengetriebene Skalierung, aber kein belegter AI-Infra-Track-Record.</t>
        </is>
      </c>
      <c r="P31" s="16" t="inlineStr">
        <is>
          <t>Data-Infra-nah</t>
        </is>
      </c>
      <c r="Q31" s="16" t="inlineStr">
        <is>
          <t>Prof. Dr. Stephan Stubner / Peter Vinnemeier</t>
        </is>
      </c>
      <c r="R31" s="16" t="inlineStr">
        <is>
          <t>Managing Partner (Team der vier Gruender-Investoren: Malte, Rolf, Stephan, Peter)</t>
        </is>
      </c>
      <c r="S31" s="16" t="inlineStr">
        <is>
          <t>n/a</t>
        </is>
      </c>
      <c r="T31" s="16" t="inlineStr">
        <is>
          <t>Nur ueber warme Intro aus dem Netzwerk - keine E-Mail und kein Pitch-Formular auf der Website</t>
        </is>
      </c>
      <c r="U31" s="16" t="inlineStr">
        <is>
          <t>Aktiver deutscher Pre-Seed-/Seed-Micro-VC mit Gruenderhintergrund, schnellen Entscheidungen und schlanken Terms - aber generalistisch ohne dedizierte AI-/Data-Infra-These.</t>
        </is>
      </c>
      <c r="V31" s="16" t="inlineStr">
        <is>
          <t>Ausschliesslich warme Intros, kein offener Kanal; keine oeffentliche Fondsgroesse oder Ticketspanne; keine dokumentierte AI-Spezialisierung.</t>
        </is>
      </c>
      <c r="W31" s="16" t="inlineStr">
        <is>
          <t>Warme Intro ueber das SpinLab-/Leipzig-Oekosystem oder das trivago-Netzwerk suchen und PathWize als kapitaleffizientes, frueh umsatzstarkes B2B-Modell mit Marktplatz-Dynamik positionieren.</t>
        </is>
      </c>
      <c r="X31" s="18" t="n">
        <v>27</v>
      </c>
      <c r="Y31" s="18" t="n">
        <v>15</v>
      </c>
      <c r="Z31" s="18" t="n">
        <v>8</v>
      </c>
      <c r="AA31" s="18" t="n">
        <v>7</v>
      </c>
      <c r="AB31" s="18" t="n">
        <v>10</v>
      </c>
      <c r="AC31" s="15" t="inlineStr">
        <is>
          <t>Mittel</t>
        </is>
      </c>
      <c r="AD31" s="15" t="inlineStr">
        <is>
          <t>Bestandsliste</t>
        </is>
      </c>
      <c r="AE31" s="16" t="inlineStr">
        <is>
          <t>https://www.monkfish-equity.com/</t>
        </is>
      </c>
      <c r="AF31" s="16" t="inlineStr">
        <is>
          <t>https://www.monkfish-equity.com/, https://tracxn.com/d/venture-capital/monkfish-equity/__k-ivqO_Bd_8zV9Mbo0X5mSfStVBD_8EcK8owFXukaaI, https://superscout.co/investor/monkfish-equity, https://app.dealroom.co/investors/monkfish_equity_gmbh</t>
        </is>
      </c>
    </row>
    <row r="32">
      <c r="A32" s="22" t="n">
        <v>28</v>
      </c>
      <c r="B32" s="23" t="inlineStr">
        <is>
          <t>Robert Bosch Venture Capital (Bosch Ventures)</t>
        </is>
      </c>
      <c r="C32" s="20" t="inlineStr">
        <is>
          <t>B</t>
        </is>
      </c>
      <c r="D32" s="20" t="n">
        <v>67</v>
      </c>
      <c r="E32" s="15" t="inlineStr">
        <is>
          <t>Stuttgart (weitere Büros: Frankfurt, Sunnyvale, Boston, Tel Aviv, Shanghai)</t>
        </is>
      </c>
      <c r="F32" s="15" t="inlineStr">
        <is>
          <t>Deutschland</t>
        </is>
      </c>
      <c r="G32" s="15" t="inlineStr">
        <is>
          <t>Corporate VC (Robert Bosch GmbH)</t>
        </is>
      </c>
      <c r="H32" s="16" t="inlineStr">
        <is>
          <t>Schwerpunkt Series A bis C, mit Flexibilität für Seed und spätere Runden</t>
        </is>
      </c>
      <c r="I32" s="15" t="inlineStr">
        <is>
          <t>Ja — laut eigener Aussage flexibel als Lead, Co-Lead oder Follower</t>
        </is>
      </c>
      <c r="J32" s="16" t="inlineStr">
        <is>
          <t>bis zu 25 Mio. EUR pro Unternehmen, Beteiligung bis 25 %</t>
        </is>
      </c>
      <c r="K32" s="16" t="inlineStr">
        <is>
          <t>n/a (Fondsvolumen nicht öffentlich ausgewiesen)</t>
        </is>
      </c>
      <c r="L32" s="18" t="inlineStr">
        <is>
          <t>Ja</t>
        </is>
      </c>
      <c r="M32" s="16" t="inlineStr">
        <is>
          <t>Deep Tech in fünf Feldern: AI und Machine Learning, Automation &amp; Digitalisierung, Halbleiter &amp; Computing, Advanced Manufacturing sowie Mobility; ergänzend Elektrifizierung, Enabling Technologies (Software, Connectivity), Climate Tech und Healthcare</t>
        </is>
      </c>
      <c r="N32" s="16" t="inlineStr">
        <is>
          <t>AI und Machine Learning ist explizit als primäres Fokusfeld gelistet, inklusive Deep-Learning-Anwendungen; konkrete Portfolionamen auf der Übersichtsseite nicht abrufbar</t>
        </is>
      </c>
      <c r="O32" s="16" t="inlineStr">
        <is>
          <t>Hoch im industriellen Kontext — Bosch selbst ist einer der größten industriellen Abnehmer annotierter Sensor-, Bild- und Fahrzeugdaten; strategischer Kunden- und Investorenzugang in einem</t>
        </is>
      </c>
      <c r="P32" s="16" t="inlineStr">
        <is>
          <t>-</t>
        </is>
      </c>
      <c r="Q32" s="16" t="inlineStr">
        <is>
          <t>n/a (Teamseite nicht abrufbar; Einstieg über Stuttgarter Zentrale)</t>
        </is>
      </c>
      <c r="R32" s="16" t="inlineStr">
        <is>
          <t>n/a</t>
        </is>
      </c>
      <c r="S32" s="16" t="inlineStr">
        <is>
          <t>n/a</t>
        </is>
      </c>
      <c r="T32" s="16" t="inlineStr">
        <is>
          <t>Info.RBVC@de.bosch.com (Zentrale Stuttgart)</t>
        </is>
      </c>
      <c r="U32" s="16" t="inlineStr">
        <is>
          <t>AI und Machine Learning stehen als erstes Fokusfeld der Deep-Tech-These, und Bosch bietet als Konzernmutter einen der größten industriellen Trainingsdaten-Bedarfe Europas als strategisches Asset — der Stage-Schwerpunkt liegt jedoch auf Series A bis C.</t>
        </is>
      </c>
      <c r="V32" s="16" t="inlineStr">
        <is>
          <t>Pre-Seed/Seed praktisch ausgeschlossen, Schwerpunkt Series A+; Corporate-VC-Abhängigkeiten (strategische Interessen der Bosch-Gruppe, mögliche Signalwirkung gegenüber anderen Automotive-Kunden); Tickets bis 25 Mio. EUR sind für eine frühe Runde deutlich zu groß; kein Team-Ansprechpartner öffentlich zuzuordnen</t>
        </is>
      </c>
      <c r="W32" s="16" t="inlineStr">
        <is>
          <t>Für später vormerken und jetzt schon als strategischen Kunden aufbauen: PathWize als Annotationspartner für Bosch-Sensor- und Fertigungsdaten, mit Kapitalgespräch zur Series A.</t>
        </is>
      </c>
      <c r="X32" s="18" t="n">
        <v>14</v>
      </c>
      <c r="Y32" s="18" t="n">
        <v>22</v>
      </c>
      <c r="Z32" s="18" t="n">
        <v>12</v>
      </c>
      <c r="AA32" s="18" t="n">
        <v>9</v>
      </c>
      <c r="AB32" s="18" t="n">
        <v>10</v>
      </c>
      <c r="AC32" s="15" t="inlineStr">
        <is>
          <t>Mittel</t>
        </is>
      </c>
      <c r="AD32" s="15" t="inlineStr">
        <is>
          <t>Bestandsliste</t>
        </is>
      </c>
      <c r="AE32" s="16" t="inlineStr">
        <is>
          <t>https://bosch.ventures/ (vormals rbvc.com)</t>
        </is>
      </c>
      <c r="AF32" s="16" t="inlineStr">
        <is>
          <t>https://bosch.ventures/, https://bosch.ventures/investment-strategy/, https://www.rbvc.com/</t>
        </is>
      </c>
    </row>
    <row r="33">
      <c r="A33" s="22" t="n">
        <v>29</v>
      </c>
      <c r="B33" s="23" t="inlineStr">
        <is>
          <t>Venture Stars GmbH</t>
        </is>
      </c>
      <c r="C33" s="20" t="inlineStr">
        <is>
          <t>B</t>
        </is>
      </c>
      <c r="D33" s="20" t="n">
        <v>67</v>
      </c>
      <c r="E33" s="15" t="inlineStr">
        <is>
          <t>München</t>
        </is>
      </c>
      <c r="F33" s="15" t="inlineStr">
        <is>
          <t>Deutschland</t>
        </is>
      </c>
      <c r="G33" s="15" t="inlineStr">
        <is>
          <t>VC (aus Company Builder hervorgegangen)</t>
        </is>
      </c>
      <c r="H33" s="16" t="inlineStr">
        <is>
          <t>Pre-Seed und Seed</t>
        </is>
      </c>
      <c r="I33" s="15" t="inlineStr">
        <is>
          <t>Ja – tritt bei Pre-Seed/Seed regelmäßig als Lead auf</t>
        </is>
      </c>
      <c r="J33" s="16" t="inlineStr">
        <is>
          <t>500.000 – 1,5 Mio. EUR Initial-Ticket</t>
        </is>
      </c>
      <c r="K33" s="16" t="inlineStr">
        <is>
          <t>n/a (erster Fonds 2014 aufgelegt, Firmengründung 2011)</t>
        </is>
      </c>
      <c r="L33" s="15" t="inlineStr">
        <is>
          <t>Teilweise</t>
        </is>
      </c>
      <c r="M33" s="16" t="inlineStr">
        <is>
          <t>Technologiegetriebene Geschäftsmodelle mit disruptivem Potenzial: Consumer, SaaS, Fintech, Healthcare, Energy, Climate und AI</t>
        </is>
      </c>
      <c r="N33" s="16" t="inlineStr">
        <is>
          <t>MOMENTUM TRANSFER (fortgeschrittene Röntgen-/Messdaten), OTARK (Plattform Grünstromhandel), MARCLEY (Solar), nunc. (Consumer) – AI wird in der These genannt, aber kein dediziertes AI-/Data-Infra-Investment belegbar</t>
        </is>
      </c>
      <c r="O33" s="16" t="inlineStr">
        <is>
          <t>Mittel-gering – AI ist als Sektor gelistet, Portfolio jedoch energie- und consumerlastig; Company-Builder-DNA und SaaS-Erfahrung wären operativ hilfreich</t>
        </is>
      </c>
      <c r="P33" s="16" t="inlineStr">
        <is>
          <t>Data-Infra-nah</t>
        </is>
      </c>
      <c r="Q33" s="16" t="inlineStr">
        <is>
          <t>Florian Calmbach</t>
        </is>
      </c>
      <c r="R33" s="16" t="inlineStr">
        <is>
          <t>Managing Partner (neben Martin Junker, Managing Partner; Raphael Budday, Investment Manager)</t>
        </is>
      </c>
      <c r="S33" s="16" t="inlineStr">
        <is>
          <t>n/a</t>
        </is>
      </c>
      <c r="T33" s="16" t="inlineStr">
        <is>
          <t>n/a (Kontakt/Pitch über venture-stars.com)</t>
        </is>
      </c>
      <c r="U33" s="16" t="inlineStr">
        <is>
          <t>Sehr guter Stage-Fit (Pre-Seed/Seed, 500 TEUR–1,5 Mio. EUR, Lead-fähig) in München, und AI wird explizit als Sektor geführt. Das tatsächliche Portfolio ist jedoch energie-/consumerlastig ohne belegte Data-Infrastruktur-Investments.</t>
        </is>
      </c>
      <c r="V33" s="16" t="inlineStr">
        <is>
          <t>AI-These bislang nicht durch Portfolio belegt; breite Sektorstreuung deutet auf Generalisten-Ansatz; Fondsgröße intransparent</t>
        </is>
      </c>
      <c r="W33" s="16" t="inlineStr">
        <is>
          <t>Company-Builder-Historie ansprechen: PathWize als operativ skalierbares B2B-Modell positionieren, bei dem Venture Stars mit Manpower bei GTM und Delivery-Aufbau echten Mehrwert liefert.</t>
        </is>
      </c>
      <c r="X33" s="18" t="n">
        <v>28</v>
      </c>
      <c r="Y33" s="18" t="n">
        <v>16</v>
      </c>
      <c r="Z33" s="18" t="n">
        <v>6</v>
      </c>
      <c r="AA33" s="18" t="n">
        <v>7</v>
      </c>
      <c r="AB33" s="18" t="n">
        <v>10</v>
      </c>
      <c r="AC33" s="15" t="inlineStr">
        <is>
          <t>Mittel</t>
        </is>
      </c>
      <c r="AD33" s="15" t="inlineStr">
        <is>
          <t>Bestandsliste</t>
        </is>
      </c>
      <c r="AE33" s="16" t="inlineStr">
        <is>
          <t>https://www.venture-stars.com/</t>
        </is>
      </c>
      <c r="AF33" s="16" t="inlineStr">
        <is>
          <t>https://www.venture-stars.com/, https://www.venture-stars.com/team/, https://www.eu-startups.com/investor/venture-stars/</t>
        </is>
      </c>
    </row>
    <row r="34">
      <c r="A34" s="22" t="n">
        <v>30</v>
      </c>
      <c r="B34" s="23" t="inlineStr">
        <is>
          <t>Target Global</t>
        </is>
      </c>
      <c r="C34" s="20" t="inlineStr">
        <is>
          <t>B</t>
        </is>
      </c>
      <c r="D34" s="20" t="n">
        <v>66</v>
      </c>
      <c r="E34" s="15" t="inlineStr">
        <is>
          <t>Berlin (weitere Investmentbueros London, Tel Aviv, Barcelona)</t>
        </is>
      </c>
      <c r="F34" s="18" t="inlineStr">
        <is>
          <t>DE</t>
        </is>
      </c>
      <c r="G34" s="15" t="inlineStr">
        <is>
          <t>VC (paneuropaeisch, Multi-Stage)</t>
        </is>
      </c>
      <c r="H34" s="16" t="inlineStr">
        <is>
          <t>Pre-Seed bis Pre-IPO; dedizierte Early Stage Funds (Early Stage Fund II mit EUR 120 Mio., Early Stage Fund III Vintage 2022)</t>
        </is>
      </c>
      <c r="I34" s="15" t="inlineStr">
        <is>
          <t>Ja (fuehrt Early-Stage-Runden in Europa und Israel an)</t>
        </is>
      </c>
      <c r="J34" s="16" t="inlineStr">
        <is>
          <t>n/a (Early-Stage-Fonds typischerweise EUR 1 bis 10 Mio.)</t>
        </is>
      </c>
      <c r="K34" s="16" t="inlineStr">
        <is>
          <t>ueber EUR 3 Mrd. AUM; ca. 98 bis 163 Portfoliounternehmen je nach Quelle</t>
        </is>
      </c>
      <c r="L34" s="15" t="inlineStr">
        <is>
          <t>Teilweise</t>
        </is>
      </c>
      <c r="M34" s="16" t="inlineStr">
        <is>
          <t>Technologiegetriebene Disruption etablierter Industrien mittels SaaS, Marktplaetzen, E-Commerce und AI; historische Schwerpunkte Fintech, Mobility, Marketplaces, Logistik</t>
        </is>
      </c>
      <c r="N34" s="16" t="inlineStr">
        <is>
          <t>Nimble (Business/Productivity Software, Februar 2026), Voyantis (AI-Predictions fuer Growth), Alta; breiteres Portfolio Revolut, Delivery Hero, Auto1, wefox, TravelPerk, Rapyd, Flink</t>
        </is>
      </c>
      <c r="O34" s="16" t="inlineStr">
        <is>
          <t>Mittel: AI wird als Querschnittstechnologie genannt, aber es gibt keine belegten Data-Infrastruktur-, MLOps- oder Labeling-Investments</t>
        </is>
      </c>
      <c r="P34" s="16" t="inlineStr">
        <is>
          <t>-</t>
        </is>
      </c>
      <c r="Q34" s="16" t="inlineStr">
        <is>
          <t>n/a (Team-Seite zum Recherchezeitpunkt nicht abrufbar - 404)</t>
        </is>
      </c>
      <c r="R34" s="16" t="inlineStr">
        <is>
          <t>n/a</t>
        </is>
      </c>
      <c r="S34" s="16" t="inlineStr">
        <is>
          <t>n/a</t>
        </is>
      </c>
      <c r="T34" s="16" t="inlineStr">
        <is>
          <t>Kontakt ueber https://targetglobal.vc/ (keine oeffentliche Pitch-E-Mail auffindbar)</t>
        </is>
      </c>
      <c r="U34" s="16" t="inlineStr">
        <is>
          <t>Grosser Berliner Multi-Stage-Fonds mit dediziertem Early-Stage-Vehikel und AI im Thesentext, aber der Track Record liegt klar bei Fintech, Mobility und Marktplaetzen - nicht bei Data-Infrastruktur.</t>
        </is>
      </c>
      <c r="V34" s="16" t="inlineStr">
        <is>
          <t>Nur zwei Neuinvestments in den letzten zwoelf Monaten - deutlich reduzierte Deployment-Aktivitaet; Team-Seite nicht erreichbar; Early Stage Fund III ist Vintage 2022 und damit vermutlich weitgehend allokiert; keine erkennbare Deep-Tech-/Infra-Kompetenz</t>
        </is>
      </c>
      <c r="W34" s="16" t="inlineStr">
        <is>
          <t>Ueber die Portfolio-Nachfrageseite argumentieren: Marktplatz- und Fintech-Beteiligungen wie Auto1 und Revolut brauchen laufend gelabelte Daten fuer Betrugs-, Bild- und Dokumentenmodelle - genau das liefert PathWize.</t>
        </is>
      </c>
      <c r="X34" s="18" t="n">
        <v>24</v>
      </c>
      <c r="Y34" s="18" t="n">
        <v>17</v>
      </c>
      <c r="Z34" s="18" t="n">
        <v>10</v>
      </c>
      <c r="AA34" s="18" t="n">
        <v>5</v>
      </c>
      <c r="AB34" s="18" t="n">
        <v>10</v>
      </c>
      <c r="AC34" s="15" t="inlineStr">
        <is>
          <t>Mittel</t>
        </is>
      </c>
      <c r="AD34" s="15" t="inlineStr">
        <is>
          <t>Bestandsliste</t>
        </is>
      </c>
      <c r="AE34" s="16" t="inlineStr">
        <is>
          <t>https://targetglobal.vc/</t>
        </is>
      </c>
      <c r="AF34" s="16" t="inlineStr">
        <is>
          <t>https://targetglobal.vc/, https://tracxn.com/d/venture-capital/targetglobal/__yMWsERWGY2o1EhBsDgTUh2SoY5GMJpGIhjkh95XKFbg, https://pitchbook.com/profiles/fund/20937-07F, https://www.eu-startups.com/2020/02/target-global-launches-e120-million-early-stage-fund-ii-to-back-tech-founders-across-europe/, https://startup-map.berlin/investors/target_global</t>
        </is>
      </c>
    </row>
    <row r="35">
      <c r="A35" s="22" t="n">
        <v>31</v>
      </c>
      <c r="B35" s="23" t="inlineStr">
        <is>
          <t>Caesar Ventures</t>
        </is>
      </c>
      <c r="C35" s="20" t="inlineStr">
        <is>
          <t>B</t>
        </is>
      </c>
      <c r="D35" s="20" t="n">
        <v>65</v>
      </c>
      <c r="E35" s="15" t="inlineStr">
        <is>
          <t>Berlin (zweiter Standort Muenchen)</t>
        </is>
      </c>
      <c r="F35" s="15" t="inlineStr">
        <is>
          <t>Deutschland</t>
        </is>
      </c>
      <c r="G35" s="15" t="inlineStr">
        <is>
          <t>VC / Angel-Kollektiv von Unternehmern ('We invest before investing')</t>
        </is>
      </c>
      <c r="H35" s="16" t="inlineStr">
        <is>
          <t>Sehr fruehe Phase (Pre-Seed / Seed)</t>
        </is>
      </c>
      <c r="I35" s="15" t="inlineStr">
        <is>
          <t>Teilweise (investiert eigenes Kapital der Partner, tritt als aktiver Frueh-Investor auf; Lead-Rolle nicht explizit ausgewiesen)</t>
        </is>
      </c>
      <c r="J35" s="16" t="inlineStr">
        <is>
          <t>n/a (nicht auf der Website ausgewiesen)</t>
        </is>
      </c>
      <c r="K35" s="16" t="inlineStr">
        <is>
          <t>n/a (nicht auf der Website ausgewiesen)</t>
        </is>
      </c>
      <c r="L35" s="15" t="inlineStr">
        <is>
          <t>Teilweise</t>
        </is>
      </c>
      <c r="M35" s="16" t="inlineStr">
        <is>
          <t>Sektoragnostischer Frueh-Phasen-Tech-Investor mit Werte-/Impact-Anspruch ('companies with the potential to improve our society, our planet, and people's lives'); Team deckt FinTech, GreenTech, Real Estate, Digital Health und AI ab.</t>
        </is>
      </c>
      <c r="N35" s="16" t="inlineStr">
        <is>
          <t>freshflow (AI-Bedarfsprognose fuer den Lebensmitteleinzelhandel), Optimeleon (AI-Website-Personalisierung), Myriad, Lucid, RocketTutor; im Team ein Partner mit Profil 'AI founder, tech lead, angel investor'</t>
        </is>
      </c>
      <c r="O35" s="16" t="inlineStr">
        <is>
          <t>Mittel: sektoragnostisch und AI-affin, aber ohne dedizierte Data-Infra-/MLOps-These oder Labeling-Investment.</t>
        </is>
      </c>
      <c r="P35" s="16" t="inlineStr">
        <is>
          <t>-</t>
        </is>
      </c>
      <c r="Q35" s="16" t="inlineStr">
        <is>
          <t>Andy (Nachname auf der Website nicht ausgewiesen)</t>
        </is>
      </c>
      <c r="R35" s="16" t="inlineStr">
        <is>
          <t>Partner/Teammitglied, Profil: 'AI founder, tech lead, angel investor' - relevanteste AI-Kompetenz im Team; Co-Founder/Partner sind 'Caro' und 'Gregor'</t>
        </is>
      </c>
      <c r="S35" s="16" t="inlineStr">
        <is>
          <t>n/a</t>
        </is>
      </c>
      <c r="T35" s="16" t="inlineStr">
        <is>
          <t>pitch@caesar.vc (Pitches), contact@caesar.vc (allgemein), Schoenhauser Allee 8, 10119 Berlin</t>
        </is>
      </c>
      <c r="U35" s="16" t="inlineStr">
        <is>
          <t>Sehr frueher, sektoragnostischer Berliner Investor mit AI-Kompetenz im Team und AI-Portfolio (freshflow, Optimeleon) - ideal fuer eine Pre-Seed-Runde, aber ohne Data-Infra-Spezialisierung und mit unbekanntem Fondsvolumen.</t>
        </is>
      </c>
      <c r="V35" s="16" t="inlineStr">
        <is>
          <t>Fondsgroesse und Ticketgroesse nicht oeffentlich; Team wird nur mit Vornamen gefuehrt (geringe Transparenz); begrenzte Follow-on-Kapazitaet fuer Series A wahrscheinlich.</t>
        </is>
      </c>
      <c r="W35" s="16" t="inlineStr">
        <is>
          <t>Direkt an pitch@caesar.vc mit dem Pre-Seed-Case und dem AI-Operator-Angle - der 'AI founder' im Team ist der natuerliche Sponsor fuer ein Trainingsdaten-Geschaeft.</t>
        </is>
      </c>
      <c r="X35" s="18" t="n">
        <v>27</v>
      </c>
      <c r="Y35" s="18" t="n">
        <v>14</v>
      </c>
      <c r="Z35" s="18" t="n">
        <v>9</v>
      </c>
      <c r="AA35" s="18" t="n">
        <v>5</v>
      </c>
      <c r="AB35" s="18" t="n">
        <v>10</v>
      </c>
      <c r="AC35" s="15" t="inlineStr">
        <is>
          <t>Mittel</t>
        </is>
      </c>
      <c r="AD35" s="15" t="inlineStr">
        <is>
          <t>Bestandsliste</t>
        </is>
      </c>
      <c r="AE35" s="16" t="inlineStr">
        <is>
          <t>https://www.caesar.vc</t>
        </is>
      </c>
      <c r="AF35" s="16" t="inlineStr">
        <is>
          <t>https://www.caesar.vc/, https://www.caesar.vc/team</t>
        </is>
      </c>
    </row>
    <row r="36">
      <c r="A36" s="22" t="n">
        <v>32</v>
      </c>
      <c r="B36" s="23" t="inlineStr">
        <is>
          <t>XAnge</t>
        </is>
      </c>
      <c r="C36" s="20" t="inlineStr">
        <is>
          <t>B</t>
        </is>
      </c>
      <c r="D36" s="20" t="n">
        <v>65</v>
      </c>
      <c r="E36" s="15" t="inlineStr">
        <is>
          <t>Paris (Büros: Berlin, Brüssel)</t>
        </is>
      </c>
      <c r="F36" s="15" t="inlineStr">
        <is>
          <t>Frankreich</t>
        </is>
      </c>
      <c r="G36" s="15" t="inlineStr">
        <is>
          <t>VC (Early Stage, Teil der Siparex-Gruppe)</t>
        </is>
      </c>
      <c r="H36" s="16" t="inlineStr">
        <is>
          <t>Frühphase (Seed und Series A)</t>
        </is>
      </c>
      <c r="I36" s="18" t="inlineStr">
        <is>
          <t>Ja</t>
        </is>
      </c>
      <c r="J36" s="16" t="inlineStr">
        <is>
          <t>n/a (auf der Website nicht ausgewiesen)</t>
        </is>
      </c>
      <c r="K36" s="16" t="inlineStr">
        <is>
          <t>n/a (fünf Fondsgenerationen XAnge 1 bis XAnge 5; Einzelgrößen nicht ausgewiesen)</t>
        </is>
      </c>
      <c r="L36" s="15" t="inlineStr">
        <is>
          <t>Teilweise</t>
        </is>
      </c>
      <c r="M36" s="16" t="inlineStr">
        <is>
          <t>'European Game Changers' - Frühphaseninvestor mit Fokus auf Deglobalisierung, Inflation, Klimawandel und digitale Souveränität. 200+ finanzierte Unternehmen, 120+ Exits, 5 Unicorns.</t>
        </is>
      </c>
      <c r="N36" s="16" t="inlineStr">
        <is>
          <t>Vertical Compute (Compute-Infrastruktur), Ledger, Odoo, Believe, Lydia, Skello, LegalPlace - Website-belegt. Ein ausgewiesenes AI-/Data-Infrastruktur-Portfolio ist auf der Startseite nicht erkennbar.</t>
        </is>
      </c>
      <c r="O36" s="16" t="inlineStr">
        <is>
          <t>Mittel. Die These 'digitale Souveränität' ist ein guter Aufhänger für europäische Trainingsdaten-Infrastruktur, aber der belegbare Track Record liegt eher in Consumer-, FinTech- und SaaS-Themen.</t>
        </is>
      </c>
      <c r="P36" s="16" t="inlineStr">
        <is>
          <t>Data-Infra-nah</t>
        </is>
      </c>
      <c r="Q36" s="16" t="inlineStr">
        <is>
          <t>Cyril Bertrand</t>
        </is>
      </c>
      <c r="R36" s="16" t="inlineStr">
        <is>
          <t>Managing Partner (Website-belegt)</t>
        </is>
      </c>
      <c r="S36" s="16" t="inlineStr">
        <is>
          <t>n/a</t>
        </is>
      </c>
      <c r="T36" s="16" t="inlineStr">
        <is>
          <t>Bereich 'Send your pitch' auf https://www.xange.vc/ ; Berliner Büro: Linienstraße 86, 10119 Berlin</t>
        </is>
      </c>
      <c r="U36" s="16" t="inlineStr">
        <is>
          <t>Frühphasenfonds mit echtem Berliner Büro und damit gutem DACH-Zugang; die These 'digitale Souveränität' passt argumentativ zu europäischer Trainingsdaten-Infrastruktur. Der belegbare AI-/Data-Track-Record ist jedoch dünn, das Portfolio wirkt stark FinTech- und Consumer-getrieben.</t>
        </is>
      </c>
      <c r="V36" s="16" t="inlineStr">
        <is>
          <t>Kein sichtbares AI-Infrastruktur-Portfolio; PathWize wäre eine Erst-These für den Fonds. Keine öffentlichen Ticket- oder Fondsgrößen. Investmentteam laut Website überwiegend in Paris - das Berliner Büro ist dünn besetzt.</t>
        </is>
      </c>
      <c r="W36" s="16" t="inlineStr">
        <is>
          <t>Über das Berliner Büro und das Thema digitale Souveränität einsteigen: europäische AI-Modelle dürfen ihre Trainingsdaten nicht in Drittstaaten annotieren lassen. EU AI Act als regulatorischen Rückenwind für die Nachfrage nach dokumentierten, auditierbaren Labeling-Prozessen darstellen.</t>
        </is>
      </c>
      <c r="X36" s="18" t="n">
        <v>25</v>
      </c>
      <c r="Y36" s="18" t="n">
        <v>15</v>
      </c>
      <c r="Z36" s="18" t="n">
        <v>8</v>
      </c>
      <c r="AA36" s="18" t="n">
        <v>8</v>
      </c>
      <c r="AB36" s="18" t="n">
        <v>9</v>
      </c>
      <c r="AC36" s="15" t="inlineStr">
        <is>
          <t>Mittel</t>
        </is>
      </c>
      <c r="AD36" s="15" t="inlineStr">
        <is>
          <t>NEU – Recherche-Ergaenzung</t>
        </is>
      </c>
      <c r="AE36" s="16" t="inlineStr">
        <is>
          <t>https://www.xange.vc/</t>
        </is>
      </c>
      <c r="AF36" s="16" t="inlineStr">
        <is>
          <t>https://www.xange.vc/</t>
        </is>
      </c>
    </row>
    <row r="37">
      <c r="A37" s="22" t="n">
        <v>33</v>
      </c>
      <c r="B37" s="23" t="inlineStr">
        <is>
          <t>MIG Capital</t>
        </is>
      </c>
      <c r="C37" s="20" t="inlineStr">
        <is>
          <t>B</t>
        </is>
      </c>
      <c r="D37" s="20" t="n">
        <v>64</v>
      </c>
      <c r="E37" s="15" t="inlineStr">
        <is>
          <t>München (Ismaninger Straße 102)</t>
        </is>
      </c>
      <c r="F37" s="15" t="inlineStr">
        <is>
          <t>Deutschland</t>
        </is>
      </c>
      <c r="G37" s="15" t="inlineStr">
        <is>
          <t>Venture Capital (Retail-finanziert, 100% von Privatanlegern)</t>
        </is>
      </c>
      <c r="H37" s="16" t="inlineStr">
        <is>
          <t>Seed-Phase, Folgefinanzierungen über die Unternehmensentwicklung</t>
        </is>
      </c>
      <c r="I37" s="15" t="inlineStr">
        <is>
          <t>Ja (führt Seed-Runden im Deep-Tech-Bereich häufig an)</t>
        </is>
      </c>
      <c r="J37" s="16" t="inlineStr">
        <is>
          <t>typisch ca. 1 Mio. EUR Erstinvestment</t>
        </is>
      </c>
      <c r="K37" s="16" t="inlineStr">
        <is>
          <t>1,2 Mrd. EUR committed capital über 17 Fonds; 17 Exits, davon 4 IPOs, 2 Unicorns (BioNTech, IQM)</t>
        </is>
      </c>
      <c r="L37" s="15" t="inlineStr">
        <is>
          <t>Teilweise</t>
        </is>
      </c>
      <c r="M37" s="16" t="inlineStr">
        <is>
          <t>Life Science und Deep Tech in Europa; Team aus Physikern, Biologen, Ingenieuren und Chemikern; Fokus auf naturwissenschaftlich-technisch begründete Innovationen</t>
        </is>
      </c>
      <c r="N37" s="16" t="inlineStr">
        <is>
          <t>Luffy AI, Inbolt (AI-basierte 3D-Vision für Roboter), NavVis (räumliche Daten/Mapping), Mimi Hearing Technologies; Kernportfolio jedoch BioNTech, IQM (Quantencomputing)</t>
        </is>
      </c>
      <c r="O37" s="16" t="inlineStr">
        <is>
          <t>Mittel - Inbolt und Luffy AI zeigen Offenheit für AI/Computer Vision, aber der Schwerpunkt liegt klar auf Life Science, Quantentechnologie und Hardware-Deep-Tech, nicht auf Software-Data-Infrastruktur</t>
        </is>
      </c>
      <c r="P37" s="16" t="inlineStr">
        <is>
          <t>-</t>
        </is>
      </c>
      <c r="Q37" s="16" t="inlineStr">
        <is>
          <t>n/a</t>
        </is>
      </c>
      <c r="R37" s="16" t="inlineStr">
        <is>
          <t>n/a (Team auf der Website nicht namentlich mit Rollen ausgewiesen)</t>
        </is>
      </c>
      <c r="S37" s="16" t="inlineStr">
        <is>
          <t>n/a</t>
        </is>
      </c>
      <c r="T37" s="16" t="inlineStr">
        <is>
          <t>https://www.mig-fonds.de/ (Pitch-Einreichung), https://www.mig.ag/en/team/</t>
        </is>
      </c>
      <c r="U37" s="16" t="inlineStr">
        <is>
          <t>MIG ist ein etablierter Münchner Seed-Investor mit passendem Ticket von rund 1 Mio. EUR und deutschem Fokus, hat aber eine Life-Science- und Hardware-Deep-Tech-These ohne Software-/Data-Infrastruktur-Schwerpunkt. AI erscheint nur vereinzelt (Inbolt, Luffy AI) im Portfolio.</t>
        </is>
      </c>
      <c r="V37" s="16" t="inlineStr">
        <is>
          <t>Kein expliziter AI-/Data-Infra-Fokus; Life-Science-Lastigkeit; Retail-finanziertes Modell kann zu längeren Entscheidungszyklen und begrenzter Follow-on-Flexibilität führen; Partnerstruktur öffentlich intransparent</t>
        </is>
      </c>
      <c r="W37" s="16" t="inlineStr">
        <is>
          <t>PathWize als Deep-Tech-Enabler positionieren: hochspezialisierte Fachannotation für wissenschaftliche und medizinische Datensätze, die MIG-Portfoliofirmen im Life-Science- und Robotikbereich (Inbolt) direkt benötigen.</t>
        </is>
      </c>
      <c r="X37" s="18" t="n">
        <v>26</v>
      </c>
      <c r="Y37" s="18" t="n">
        <v>13</v>
      </c>
      <c r="Z37" s="18" t="n">
        <v>8</v>
      </c>
      <c r="AA37" s="18" t="n">
        <v>7</v>
      </c>
      <c r="AB37" s="18" t="n">
        <v>10</v>
      </c>
      <c r="AC37" s="15" t="inlineStr">
        <is>
          <t>Mittel</t>
        </is>
      </c>
      <c r="AD37" s="15" t="inlineStr">
        <is>
          <t>Bestandsliste</t>
        </is>
      </c>
      <c r="AE37" s="16" t="inlineStr">
        <is>
          <t>https://www.mig.ag/en/</t>
        </is>
      </c>
      <c r="AF37" s="16" t="inlineStr">
        <is>
          <t>https://www.mig.ag/en/, https://www.mig.ag/en/team/, https://www.mig-fonds.de/</t>
        </is>
      </c>
    </row>
    <row r="38">
      <c r="A38" s="22" t="n">
        <v>34</v>
      </c>
      <c r="B38" s="23" t="inlineStr">
        <is>
          <t>Notion Capital</t>
        </is>
      </c>
      <c r="C38" s="20" t="inlineStr">
        <is>
          <t>B</t>
        </is>
      </c>
      <c r="D38" s="20" t="n">
        <v>64</v>
      </c>
      <c r="E38" s="15" t="inlineStr">
        <is>
          <t>London</t>
        </is>
      </c>
      <c r="F38" s="15" t="inlineStr">
        <is>
          <t>Vereinigtes Königreich</t>
        </is>
      </c>
      <c r="G38" s="15" t="inlineStr">
        <is>
          <t>VC (unabhängig, B2B-/SaaS-Spezialist, von Gründern geführt; FCA-reguliert)</t>
        </is>
      </c>
      <c r="H38" s="16" t="inlineStr">
        <is>
          <t>Early Stage (Seed und Series A), Begleitung von ca. 1 Mio. bis über 100 Mio. USD Umsatz</t>
        </is>
      </c>
      <c r="I38" s="18" t="inlineStr">
        <is>
          <t>Ja</t>
        </is>
      </c>
      <c r="J38" s="16" t="inlineStr">
        <is>
          <t>n/a (auf der Startseite nicht ausgewiesen)</t>
        </is>
      </c>
      <c r="K38" s="16" t="inlineStr">
        <is>
          <t>ca. 1 Mrd. USD verwaltetes Vermögen; über 200 finanzierte Unternehmen</t>
        </is>
      </c>
      <c r="L38" s="15" t="inlineStr">
        <is>
          <t>Teilweise</t>
        </is>
      </c>
      <c r="M38" s="16" t="inlineStr">
        <is>
          <t>Europäische Business-Software in vier Kategorien: 'Knowledge' (SaaS), 'Labour' (AI-getriebene Services-Software für Beratung, Recht, Buchhaltung, Werbung), 'Machines' (Software mit AI-Integration in die physische Welt) und 'Money' (FinTech).</t>
        </is>
      </c>
      <c r="N38" s="16" t="inlineStr">
        <is>
          <t>Aikido Security, Quantum Systems (München, Drohnen mit AI-Auswertung), Mews, GoCardless, Paddle, Upvest, Currencycloud, YuLife - Website-belegt. Ein dediziertes Data-Infrastruktur-Portfolio ist nicht ausgewiesen.</t>
        </is>
      </c>
      <c r="O38" s="16" t="inlineStr">
        <is>
          <t>Mittel. Die Kategorien 'Labour' und 'Machines' setzen strukturell annotierte Daten voraus (AI-Services-Software, physische AI wie Quantum Systems), aber Notion investiert in die Anwendungsebene, nicht in die Datenschicht.</t>
        </is>
      </c>
      <c r="P38" s="16" t="inlineStr">
        <is>
          <t>Data-Infra-nah</t>
        </is>
      </c>
      <c r="Q38" s="16" t="inlineStr">
        <is>
          <t>Stephen Chandler</t>
        </is>
      </c>
      <c r="R38" s="16" t="inlineStr">
        <is>
          <t>Managing Partner / Mitgründer (nicht in dieser Recherche über die Website verifiziert)</t>
        </is>
      </c>
      <c r="S38" s="16" t="inlineStr">
        <is>
          <t>n/a</t>
        </is>
      </c>
      <c r="T38" s="16" t="inlineStr">
        <is>
          <t>Pitch-Einreichung per Typeform über https://www.notioncapital.com/</t>
        </is>
      </c>
      <c r="U38" s="16" t="inlineStr">
        <is>
          <t>Etablierter, kapitalstarker B2B-Software-Fonds (ca. 1 Mrd. USD AUM) mit klarer AI-Kategorisierung in der These und einem deutschen Investment (Quantum Systems, München). Der Schwerpunkt liegt jedoch auf SaaS-Anwendungen und AI-getriebenen Services, nicht auf Dateninfrastruktur - PathWize wäre ein Randthema.</t>
        </is>
      </c>
      <c r="V38" s="16" t="inlineStr">
        <is>
          <t>Kein Pre-Seed; erwartet in der Regel bereits wiederkehrenden Umsatz. Keine belegbare Data-Infra- oder MLOps-Kompetenz im Portfolio. Kein DACH-Büro. Ticketgrößen nicht öffentlich.</t>
        </is>
      </c>
      <c r="W38" s="16" t="inlineStr">
        <is>
          <t>An die Kategorie 'Labour' andocken: AI-getriebene Services-Software ist genau das Modell, das PathWize selbst darstellt - menschliche Arbeit, durch Software skaliert und margenseitig verbessert. Diese Framing-Brücke explizit bauen und mit Bruttomargenentwicklung sowie Automatisierungsquote belegen. Quantum Systems als potenzieller Kunde für annotierte Luftbilddaten nennen.</t>
        </is>
      </c>
      <c r="X38" s="18" t="n">
        <v>22</v>
      </c>
      <c r="Y38" s="18" t="n">
        <v>18</v>
      </c>
      <c r="Z38" s="18" t="n">
        <v>9</v>
      </c>
      <c r="AA38" s="18" t="n">
        <v>8</v>
      </c>
      <c r="AB38" s="18" t="n">
        <v>7</v>
      </c>
      <c r="AC38" s="15" t="inlineStr">
        <is>
          <t>Mittel</t>
        </is>
      </c>
      <c r="AD38" s="15" t="inlineStr">
        <is>
          <t>NEU – Recherche-Ergaenzung</t>
        </is>
      </c>
      <c r="AE38" s="16" t="inlineStr">
        <is>
          <t>https://www.notioncapital.com/</t>
        </is>
      </c>
      <c r="AF38" s="16" t="inlineStr">
        <is>
          <t>https://www.notioncapital.com/</t>
        </is>
      </c>
    </row>
    <row r="39">
      <c r="A39" s="22" t="n">
        <v>35</v>
      </c>
      <c r="B39" s="23" t="inlineStr">
        <is>
          <t>Verve Ventures</t>
        </is>
      </c>
      <c r="C39" s="20" t="inlineStr">
        <is>
          <t>B</t>
        </is>
      </c>
      <c r="D39" s="20" t="n">
        <v>64</v>
      </c>
      <c r="E39" s="15" t="inlineStr">
        <is>
          <t>Zuerich (+ Lausanne, Berlin, Paris)</t>
        </is>
      </c>
      <c r="F39" s="18" t="inlineStr">
        <is>
          <t>CH</t>
        </is>
      </c>
      <c r="G39" s="15" t="inlineStr">
        <is>
          <t>VC mit angeschlossenem Private-Investoren-Netzwerk</t>
        </is>
      </c>
      <c r="H39" s="16" t="inlineStr">
        <is>
          <t>Seed bis Series C, Schwerpunkt Seed und Series A</t>
        </is>
      </c>
      <c r="I39" s="15" t="inlineStr">
        <is>
          <t>Selten - typischerweise Co-Investor, syndiziert mit dem eigenen Investorennetzwerk</t>
        </is>
      </c>
      <c r="J39" s="16" t="inlineStr">
        <is>
          <t>durchschnittlich ca. 1 Mio. CHF Erstticket, bis 5 Mio. CHF ueber die Lifetime</t>
        </is>
      </c>
      <c r="K39" s="16" t="inlineStr">
        <is>
          <t>ueber 278 Mio. EUR AUM</t>
        </is>
      </c>
      <c r="L39" s="15" t="inlineStr">
        <is>
          <t>Teilweise</t>
        </is>
      </c>
      <c r="M39" s="16" t="inlineStr">
        <is>
          <t>Deep Tech in drei Feldern: Health/Biotech, Mobility sowie ein technologieoffener Bereich mit Verankerung in AI, Machine Learning und NLP; zusaetzlich Computing, Energie, Robotik</t>
        </is>
      </c>
      <c r="N39" s="16" t="inlineStr">
        <is>
          <t>Q.ANT (photonisches Computing), Verity (autonome Drohnen/Computer Vision), C12 (Quantum), Metafuels; 61 Series-A- und 46 Seed-Investments insgesamt</t>
        </is>
      </c>
      <c r="O39" s="16" t="inlineStr">
        <is>
          <t>Niedrig-Mittel - AI/ML/NLP wird als Verankerungsthema genannt, das belegte Portfolio ist aber hardware- und life-science-lastig</t>
        </is>
      </c>
      <c r="P39" s="16" t="inlineStr">
        <is>
          <t>-</t>
        </is>
      </c>
      <c r="Q39" s="16" t="inlineStr">
        <is>
          <t>Lukas Weber</t>
        </is>
      </c>
      <c r="R39" s="16" t="inlineStr">
        <is>
          <t>Co-Founder / Partner (Mitgruender Steffen Wagner; ca. 15 Partner insgesamt)</t>
        </is>
      </c>
      <c r="S39" s="16" t="inlineStr">
        <is>
          <t>n/a</t>
        </is>
      </c>
      <c r="T39" s="16" t="inlineStr">
        <is>
          <t>Kontaktformular auf https://www.verve-ventures.com/; Berliner Buero vorhanden</t>
        </is>
      </c>
      <c r="U39" s="16" t="inlineStr">
        <is>
          <t>Seed-/Series-A-Tickets von ca. 1 Mio. CHF und ein Berliner Buero passen, aber die Deep-Tech-These ist auf Photonik, Quantum, Health und Mobility ausgerichtet - Data-Labeling ist thesenfern.</t>
        </is>
      </c>
      <c r="V39" s="16" t="inlineStr">
        <is>
          <t>Fuehrt Runden praktisch nie an; kein belegtes Data-Infra-/MLOps-Investment; Investorennetzwerk-Modell erzeugt fragmentierte Cap-Table-Struktur</t>
        </is>
      </c>
      <c r="W39" s="16" t="inlineStr">
        <is>
          <t>Als Co-Investor neben einem deutschen Lead ansprechen und die Labeling-Nachfrage der eigenen Computer-Vision-Beteiligung Verity als konkreten Anknuepfungspunkt nennen.</t>
        </is>
      </c>
      <c r="X39" s="18" t="n">
        <v>22</v>
      </c>
      <c r="Y39" s="18" t="n">
        <v>17</v>
      </c>
      <c r="Z39" s="18" t="n">
        <v>7</v>
      </c>
      <c r="AA39" s="18" t="n">
        <v>8</v>
      </c>
      <c r="AB39" s="18" t="n">
        <v>10</v>
      </c>
      <c r="AC39" s="15" t="inlineStr">
        <is>
          <t>Mittel</t>
        </is>
      </c>
      <c r="AD39" s="15" t="inlineStr">
        <is>
          <t>Bestandsliste</t>
        </is>
      </c>
      <c r="AE39" s="16" t="inlineStr">
        <is>
          <t>https://www.verve-ventures.com/ (auch verve.vc)</t>
        </is>
      </c>
      <c r="AF39" s="16" t="inlineStr">
        <is>
          <t>https://www.verve-ventures.com/, https://www.verve-ventures.com/portfolio, https://tracxn.com/d/venture-capital/verve-ventures/___rPcJVtEf92zSPo8vNuSGLw6mrUb-8-kMve0ObQT2fk, https://www.cbinsights.com/investor/investiere</t>
        </is>
      </c>
    </row>
    <row r="40">
      <c r="A40" s="22" t="n">
        <v>36</v>
      </c>
      <c r="B40" s="23" t="inlineStr">
        <is>
          <t>1745 Ventures</t>
        </is>
      </c>
      <c r="C40" s="20" t="inlineStr">
        <is>
          <t>B</t>
        </is>
      </c>
      <c r="D40" s="20" t="n">
        <v>63</v>
      </c>
      <c r="E40" s="15" t="inlineStr">
        <is>
          <t>New York City</t>
        </is>
      </c>
      <c r="F40" s="15" t="inlineStr">
        <is>
          <t>USA (LP-Bezug nach Deutschland ueber Bertelsmann)</t>
        </is>
      </c>
      <c r="G40" s="15" t="inlineStr">
        <is>
          <t>VC (Spin-out des Corporate-VC Bertelsmann Digital Media Investments)</t>
        </is>
      </c>
      <c r="H40" s="16" t="inlineStr">
        <is>
          <t>Seed und Early Stage, selektiv Series A</t>
        </is>
      </c>
      <c r="I40" s="15" t="inlineStr">
        <is>
          <t>Teilweise; haeufig Co-Investor</t>
        </is>
      </c>
      <c r="J40" s="16" t="inlineStr">
        <is>
          <t>n/a</t>
        </is>
      </c>
      <c r="K40" s="16" t="inlineStr">
        <is>
          <t>ca. 450 Mio. USD (uebernommenes BDMI-Portfolio plus neues Vehikel); Bertelsmann bleibt mit 50 Prozent groesster LP</t>
        </is>
      </c>
      <c r="L40" s="15" t="inlineStr">
        <is>
          <t>Teilweise</t>
        </is>
      </c>
      <c r="M40" s="16" t="inlineStr">
        <is>
          <t>Next-Gen Media, Enterprise SaaS, Fintech, Web3 und Emerging Technology; AI/ML-Plattformen werden als uebergreifendes Querschnittsthema genannt</t>
        </is>
      </c>
      <c r="N40" s="16" t="inlineStr">
        <is>
          <t>ueber 120 Portfolio-Companies, u.a. Acorns, Suzy (Consumer-Insights/Datenplattform), Antenna (Streaming-Analytics), Marfeel, Boostr, Athena, Zoe Financial - Schwerpunkt Media-/Fintech-Daten, keine klassische AI-Infrastruktur</t>
        </is>
      </c>
      <c r="O40" s="16" t="inlineStr">
        <is>
          <t>Niedrig bis mittel - Datenanalytik im Medienumfeld vorhanden, aber kein ML-Infrastruktur- oder Annotationsbezug belegbar</t>
        </is>
      </c>
      <c r="P40" s="16" t="inlineStr">
        <is>
          <t>Data-Infra-nah</t>
        </is>
      </c>
      <c r="Q40" s="16" t="inlineStr">
        <is>
          <t>Urs Cete</t>
        </is>
      </c>
      <c r="R40" s="16" t="inlineStr">
        <is>
          <t>Co-Founder &amp; Managing Partner (deutschsprachig, zuvor Managing Partner BDMI); Co-Founder Sim Blaustein</t>
        </is>
      </c>
      <c r="S40" s="16" t="inlineStr">
        <is>
          <t>https://www.linkedin.com/in/urscete</t>
        </is>
      </c>
      <c r="T40" s="16" t="inlineStr">
        <is>
          <t>info@1745ventures.com; Kontaktformular auf https://www.1745ventures.com/</t>
        </is>
      </c>
      <c r="U40" s="16" t="inlineStr">
        <is>
          <t>Seed-faehiger Fonds mit Enterprise-SaaS- und AI/ML-Plattform-These sowie deutschem LP-Anker ueber Bertelsmann, was den Zugang erleichtert. Der Investmentschwerpunkt liegt jedoch klar auf US-Media und Fintech, nicht auf AI-Dateninfrastruktur - trotz der Listung auf vcgermany.de ist der Sitz New York.</t>
        </is>
      </c>
      <c r="V40" s="16" t="inlineStr">
        <is>
          <t>Listung als deutscher VC ist irrefuehrend - HQ ist New York mit US-Dealflow; Web3 als Kernkategorie deutet auf breiten Opportunismus; Ticketgroesse nicht belegbar</t>
        </is>
      </c>
      <c r="W40" s="16" t="inlineStr">
        <is>
          <t>Ueber den deutschsprachigen Managing Partner Urs Cete und die Bertelsmann-Verbindung einsteigen und PathWize als Trainingsdaten-Lieferant fuer die AI-Transformation der Bertelsmann-Medienassets rahmen.</t>
        </is>
      </c>
      <c r="X40" s="18" t="n">
        <v>24</v>
      </c>
      <c r="Y40" s="18" t="n">
        <v>20</v>
      </c>
      <c r="Z40" s="18" t="n">
        <v>9</v>
      </c>
      <c r="AA40" s="18" t="n">
        <v>7</v>
      </c>
      <c r="AB40" s="18" t="n">
        <v>3</v>
      </c>
      <c r="AC40" s="15" t="inlineStr">
        <is>
          <t>Mittel</t>
        </is>
      </c>
      <c r="AD40" s="15" t="inlineStr">
        <is>
          <t>Bestandsliste</t>
        </is>
      </c>
      <c r="AE40" s="16" t="inlineStr">
        <is>
          <t>https://www.1745ventures.com/</t>
        </is>
      </c>
      <c r="AF40" s="16" t="inlineStr">
        <is>
          <t>https://www.1745ventures.com/, https://www.crunchbase.com/organization/bertelsmann-digital-media-investments, https://www.bertelsmann.com/news-and-media/news/bertelsmann-investments-opens-bdmi-fund-to-broader-investor-base.jsp, https://globalventuring.com/corporate/europe/media-firm-bertelsmann-sells-half-of-startup-fund-to-outside-investors/</t>
        </is>
      </c>
    </row>
    <row r="41">
      <c r="A41" s="22" t="n">
        <v>37</v>
      </c>
      <c r="B41" s="23" t="inlineStr">
        <is>
          <t>DTCP</t>
        </is>
      </c>
      <c r="C41" s="20" t="inlineStr">
        <is>
          <t>B</t>
        </is>
      </c>
      <c r="D41" s="20" t="n">
        <v>63</v>
      </c>
      <c r="E41" s="15" t="inlineStr">
        <is>
          <t>Hamburg (weitere Standorte u.a. Luxemburg, London, USA)</t>
        </is>
      </c>
      <c r="F41" s="15" t="inlineStr">
        <is>
          <t>Deutschland</t>
        </is>
      </c>
      <c r="G41" s="15" t="inlineStr">
        <is>
          <t>Unabhängiger Investment-Manager mit Deutsche-Telekom-Hintergrund (Growth Equity, Infrastruktur, Defence)</t>
        </is>
      </c>
      <c r="H41" s="16" t="inlineStr">
        <is>
          <t>Growth / Expansion, im Regelfall Series B bis Late Stage; Zielunternehmen mit mehreren Mio. EUR ARR</t>
        </is>
      </c>
      <c r="I41" s="15" t="inlineStr">
        <is>
          <t>Ja - führt Growth-Runden an (Growth Equity III: 20-25 Mio. USD in 15-20 Unternehmen)</t>
        </is>
      </c>
      <c r="J41" s="16" t="inlineStr">
        <is>
          <t>ca. 20 bis 25 Mio. USD pro Unternehmen im Growth-Equity-Fonds</t>
        </is>
      </c>
      <c r="K41" s="16" t="inlineStr">
        <is>
          <t>ca. 4,5 Mrd. EUR AUM; Growth Equity III mit finalem Closing bei 330 Mio. USD</t>
        </is>
      </c>
      <c r="L41" s="18" t="inlineStr">
        <is>
          <t>Ja</t>
        </is>
      </c>
      <c r="M41" s="16" t="inlineStr">
        <is>
          <t>Drei Säulen: Growth (Cybersecurity, Vertical SaaS, DevOps, Cloud, AI, Robotics in Europa, USA und Israel), Infra (Rechenzentren, Funktürme, Glasfaser im europäischen Mittelstand) und Defence (Sicherheit und strategische Autonomie Europas).</t>
        </is>
      </c>
      <c r="N41" s="16" t="inlineStr">
        <is>
          <t>Dremio (Data-Lakehouse, Exit an SAP 2026), Dash0 (Observability, Unicorn), LeanIX (Exit an SAP), Keepler (Data-/AI-Consulting, Exit an Accenture), zusätzlich Rechenzentrums-Infrastruktur</t>
        </is>
      </c>
      <c r="O41" s="16" t="inlineStr">
        <is>
          <t>Thematisch sehr hoch (Data-Lakehouse, Observability, DevOps), phasenseitig aber irrelevant für Pre-Seed/Seed - erst ab Series B/Growth ein realistischer Adressat.</t>
        </is>
      </c>
      <c r="P41" s="16" t="inlineStr">
        <is>
          <t>Data-Infra-nah</t>
        </is>
      </c>
      <c r="Q41" s="16" t="inlineStr">
        <is>
          <t>n/a (Partnernamen werden auf der Website nicht öffentlich einzeln ausgewiesen)</t>
        </is>
      </c>
      <c r="R41" s="16" t="inlineStr">
        <is>
          <t>n/a</t>
        </is>
      </c>
      <c r="S41" s="16" t="inlineStr">
        <is>
          <t>n/a</t>
        </is>
      </c>
      <c r="T41" s="16" t="inlineStr">
        <is>
          <t>Kontaktseite auf https://www.dtcp.capital/ ; öffentliche Pitch-E-Mail: n/a</t>
        </is>
      </c>
      <c r="U41" s="16" t="inlineStr">
        <is>
          <t>Thesen- und Portfolio-Fit ist exzellent (Dremio, Dash0, LeanIX - Data- und DevOps-Infrastruktur), aber DTCP investiert erst ab Series B in umsatzstarke Scale-ups und ist damit für die aktuelle Pre-Seed-/Seed-/Series-A-Suche kein passender Adressat.</t>
        </is>
      </c>
      <c r="V41" s="16" t="inlineStr">
        <is>
          <t>Klarer Stage-Mismatch: Mindestanforderung mehrere Mio. EUR ARR, Tickets von 20 bis 25 Mio. USD. Keine öffentlichen Partner-Kontaktdaten.</t>
        </is>
      </c>
      <c r="W41" s="16" t="inlineStr">
        <is>
          <t>Jetzt nur als Beziehungsaufbau für spätere Runden ansprechen - PathWize als künftiger Data-Layer im Umfeld der Dremio-/Dash0-These auf die Watchlist setzen.</t>
        </is>
      </c>
      <c r="X41" s="18" t="n">
        <v>4</v>
      </c>
      <c r="Y41" s="18" t="n">
        <v>24</v>
      </c>
      <c r="Z41" s="18" t="n">
        <v>17</v>
      </c>
      <c r="AA41" s="18" t="n">
        <v>8</v>
      </c>
      <c r="AB41" s="18" t="n">
        <v>10</v>
      </c>
      <c r="AC41" s="18" t="inlineStr">
        <is>
          <t>Hoch</t>
        </is>
      </c>
      <c r="AD41" s="15" t="inlineStr">
        <is>
          <t>Bestandsliste</t>
        </is>
      </c>
      <c r="AE41" s="16" t="inlineStr">
        <is>
          <t>https://www.dtcp.capital/</t>
        </is>
      </c>
      <c r="AF41" s="16" t="inlineStr">
        <is>
          <t>https://www.dtcp.capital/, https://globalventuring.com/corporate/corporate-venturer/deutsche-telekom-backed-dtcp-gets-450m-for-two-funds/, https://www.openvc.app/fund/DTCP%20Deutsche%20Telekom%20Capital%20Partners, https://www.startuphub.ai/investors/deutsche-telekom-capital-partners</t>
        </is>
      </c>
    </row>
    <row r="42">
      <c r="A42" s="22" t="n">
        <v>38</v>
      </c>
      <c r="B42" s="23" t="inlineStr">
        <is>
          <t>Global Founders Capital</t>
        </is>
      </c>
      <c r="C42" s="20" t="inlineStr">
        <is>
          <t>B</t>
        </is>
      </c>
      <c r="D42" s="20" t="n">
        <v>63</v>
      </c>
      <c r="E42" s="15" t="inlineStr">
        <is>
          <t>Berlin</t>
        </is>
      </c>
      <c r="F42" s="15" t="inlineStr">
        <is>
          <t>Deutschland (global tätig)</t>
        </is>
      </c>
      <c r="G42" s="15" t="inlineStr">
        <is>
          <t>VC (Multi-Stage, Rocket-Internet-/Samwer-Umfeld)</t>
        </is>
      </c>
      <c r="H42" s="16" t="inlineStr">
        <is>
          <t>Sektoragnostisch und stage-agnostisch, Schwerpunkt sehr früh ('invest early and across sectors, supporting founders from day one')</t>
        </is>
      </c>
      <c r="I42" s="15" t="inlineStr">
        <is>
          <t>Ja – hat historisch Seed- und Series-A-Runden angeführt</t>
        </is>
      </c>
      <c r="J42" s="16" t="inlineStr">
        <is>
          <t>n/a</t>
        </is>
      </c>
      <c r="K42" s="16" t="inlineStr">
        <is>
          <t>n/a (nicht offengelegt; historisch Milliarden-AUM über mehrere Fonds)</t>
        </is>
      </c>
      <c r="L42" s="15" t="inlineStr">
        <is>
          <t>Teilweise</t>
        </is>
      </c>
      <c r="M42" s="16" t="inlineStr">
        <is>
          <t>Sektoragnostisch: Software, Marktplätze, Fintech, E-Commerce, Enterprise SaaS; keine dedizierte AI-/Data-Infrastruktur-These kommuniziert</t>
        </is>
      </c>
      <c r="N42" s="16" t="inlineStr">
        <is>
          <t>n/a – Portfolio wird auf der Website nicht mehr öffentlich gelistet; historisch breite Software-/SaaS-Investments, konkrete Data-Infra-/Labeling-Investments nicht belegbar</t>
        </is>
      </c>
      <c r="O42" s="16" t="inlineStr">
        <is>
          <t>Unklar – breite Software-Kompetenz vorhanden, aber keine belegte Data-Infrastruktur-Spezialisierung</t>
        </is>
      </c>
      <c r="P42" s="16" t="inlineStr">
        <is>
          <t>Data-Infra-nah</t>
        </is>
      </c>
      <c r="Q42" s="16" t="inlineStr">
        <is>
          <t>Cedric Asselman</t>
        </is>
      </c>
      <c r="R42" s="16" t="inlineStr">
        <is>
          <t>Investment Partner (weitere Investment Partners: David Sainteff, Fabricio Pettena; Gründer: Oliver Samwer)</t>
        </is>
      </c>
      <c r="S42" s="16" t="inlineStr">
        <is>
          <t>n/a</t>
        </is>
      </c>
      <c r="T42" s="16" t="inlineStr">
        <is>
          <t>n/a (keine öffentliche Pitch-Adresse; Zugang praktisch nur über Warm Intro/LinkedIn der Partner)</t>
        </is>
      </c>
      <c r="U42" s="16" t="inlineStr">
        <is>
          <t>Berliner Multi-Stage-Investor mit Frühphasen-Bekenntnis und breiter Software-Kompetenz, der grundsätzlich Seed-Runden anführen kann. Die Investitionstätigkeit ist seit dem Marktabschwung aber deutlich reduziert und die Website liefert weder Portfolio noch Kontakt.</t>
        </is>
      </c>
      <c r="V42" s="16" t="inlineStr">
        <is>
          <t>Stark reduzierte Neu-Investitionstätigkeit und Team-Abgänge seit 2022/2023; extrem intransparente Außendarstellung (kein Portfolio, kein Kontakt, keine Fondsdaten); Zugang nur über Warm Intro</t>
        </is>
      </c>
      <c r="W42" s="16" t="inlineStr">
        <is>
          <t>Über einen Warm Intro zu einem Investment Partner (Asselman/Sainteff) mit knallharten Traction- und Effizienzkennzahlen – GFC bewertet primär Wachstum und Kapitaleffizienz, nicht Technologie-Narrative.</t>
        </is>
      </c>
      <c r="X42" s="18" t="n">
        <v>22</v>
      </c>
      <c r="Y42" s="18" t="n">
        <v>15</v>
      </c>
      <c r="Z42" s="18" t="n">
        <v>12</v>
      </c>
      <c r="AA42" s="18" t="n">
        <v>4</v>
      </c>
      <c r="AB42" s="18" t="n">
        <v>10</v>
      </c>
      <c r="AC42" s="15" t="inlineStr">
        <is>
          <t>Niedrig</t>
        </is>
      </c>
      <c r="AD42" s="15" t="inlineStr">
        <is>
          <t>Bestandsliste</t>
        </is>
      </c>
      <c r="AE42" s="16" t="inlineStr">
        <is>
          <t>https://globalfounderscapital.com/</t>
        </is>
      </c>
      <c r="AF42" s="16" t="inlineStr">
        <is>
          <t>https://globalfounderscapital.com/</t>
        </is>
      </c>
    </row>
    <row r="43">
      <c r="A43" s="22" t="n">
        <v>39</v>
      </c>
      <c r="B43" s="23" t="inlineStr">
        <is>
          <t>Next47</t>
        </is>
      </c>
      <c r="C43" s="20" t="inlineStr">
        <is>
          <t>B</t>
        </is>
      </c>
      <c r="D43" s="20" t="n">
        <v>63</v>
      </c>
      <c r="E43" s="15" t="inlineStr">
        <is>
          <t>Muenchen (+ Palo Alto, Tel Aviv)</t>
        </is>
      </c>
      <c r="F43" s="18" t="inlineStr">
        <is>
          <t>DE</t>
        </is>
      </c>
      <c r="G43" s="15" t="inlineStr">
        <is>
          <t>Corporate VC (unabhaengig gefuehrt, von Siemens AG finanziert)</t>
        </is>
      </c>
      <c r="H43" s="16" t="inlineStr">
        <is>
          <t>Schwerpunkt Series B; teils Series A und Expansion-Stage. Kein Pre-Seed/Seed</t>
        </is>
      </c>
      <c r="I43" s="15" t="inlineStr">
        <is>
          <t>Ja - fuehrt Wachstumsrunden an</t>
        </is>
      </c>
      <c r="J43" s="16" t="inlineStr">
        <is>
          <t>n/a (Wachstumstickets, typisch zweistellige Mio. USD)</t>
        </is>
      </c>
      <c r="K43" s="16" t="inlineStr">
        <is>
          <t>ca. 1,2 Mrd. USD</t>
        </is>
      </c>
      <c r="L43" s="18" t="inlineStr">
        <is>
          <t>Ja</t>
        </is>
      </c>
      <c r="M43" s="16" t="inlineStr">
        <is>
          <t>Enterprise Tech: SaaS, IT-Infrastruktur, Industrial Tech (Manufacturing, Bau, Energie, Transport, Logistik, Supply Chain)</t>
        </is>
      </c>
      <c r="N43" s="16" t="inlineStr">
        <is>
          <t>Encord (Data-Development-Plattform fuer Computer Vision und multimodale AI - direkter Annotation-/Labeling-Player, Investment 2024), Kai (125 Mio. USD Series A, Mrz 2026), breites Enterprise-Software-Portfolio</t>
        </is>
      </c>
      <c r="O43" s="16" t="inlineStr">
        <is>
          <t>Sehr hoch inhaltlich - Encord ist ein direkter Data-Labeling-/Annotation-Wettbewerber im Portfolio; damit aber gleichzeitig ein potenzieller Konflikt</t>
        </is>
      </c>
      <c r="P43" s="16" t="inlineStr">
        <is>
          <t>DIREKT: Encord – Wettbewerbskonflikt pruefen</t>
        </is>
      </c>
      <c r="Q43" s="16" t="inlineStr">
        <is>
          <t>n/a (kein namentlich belegbarer Data-Infra-Lead auffindbar)</t>
        </is>
      </c>
      <c r="R43" s="16" t="inlineStr">
        <is>
          <t>n/a</t>
        </is>
      </c>
      <c r="S43" s="16" t="inlineStr">
        <is>
          <t>n/a</t>
        </is>
      </c>
      <c r="T43" s="16" t="inlineStr">
        <is>
          <t>Kontaktformular auf next47.com; kein oeffentliches Pitch-Postfach belegbar</t>
        </is>
      </c>
      <c r="U43" s="16" t="inlineStr">
        <is>
          <t>Thesenseitig ideal - Next47 hat mit Encord einen echten Data-Labeling-Player finanziert und versteht Enterprise-AI-Daten -, aber der Series-B+-Fokus liegt zwei Runden hinter PathWize.</t>
        </is>
      </c>
      <c r="V43" s="16" t="inlineStr">
        <is>
          <t>Kein Pre-Seed/Seed; Encord im Portfolio = direkter Wettbewerber und Interessenkonflikt; geringe erkennbare Deal-Aktivitaet in 2026; Corporate-VC-Abhaengigkeit von Siemens</t>
        </is>
      </c>
      <c r="W43" s="16" t="inlineStr">
        <is>
          <t>Jetzt nur als Beziehungsaufbau fuer die spaetere Series B ansprechen - oder ueber die Siemens-Industriekunden als potenziellen Labeling-Abnehmer statt als Investor.</t>
        </is>
      </c>
      <c r="X43" s="18" t="n">
        <v>5</v>
      </c>
      <c r="Y43" s="18" t="n">
        <v>24</v>
      </c>
      <c r="Z43" s="18" t="n">
        <v>20</v>
      </c>
      <c r="AA43" s="18" t="n">
        <v>5</v>
      </c>
      <c r="AB43" s="18" t="n">
        <v>9</v>
      </c>
      <c r="AC43" s="15" t="inlineStr">
        <is>
          <t>Mittel</t>
        </is>
      </c>
      <c r="AD43" s="15" t="inlineStr">
        <is>
          <t>Bestandsliste</t>
        </is>
      </c>
      <c r="AE43" s="16" t="inlineStr">
        <is>
          <t>https://www.next47.com/</t>
        </is>
      </c>
      <c r="AF43" s="16" t="inlineStr">
        <is>
          <t>https://tracxn.com/d/venture-capital/next47/__bI8hs_enpgZod4GZWlhZ1aGsgpmZ2a0eY9H-LX4BiLM, https://tomorrowdesk.com/info/next47, https://press.siemens.com/global/en/feature/next47-siemens-founds-separate-unit-startups, https://www.crunchbase.com/organization/next47/recent_investments</t>
        </is>
      </c>
    </row>
    <row r="44">
      <c r="A44" s="22" t="n">
        <v>40</v>
      </c>
      <c r="B44" s="23" t="inlineStr">
        <is>
          <t>BMW i Ventures</t>
        </is>
      </c>
      <c r="C44" s="20" t="inlineStr">
        <is>
          <t>B</t>
        </is>
      </c>
      <c r="D44" s="20" t="n">
        <v>62</v>
      </c>
      <c r="E44" s="15" t="inlineStr">
        <is>
          <t>Mountain View (Kalifornien), Bueros in San Francisco und Muenchen</t>
        </is>
      </c>
      <c r="F44" s="15" t="inlineStr">
        <is>
          <t>US (mit DE-Praesenz)</t>
        </is>
      </c>
      <c r="G44" s="15" t="inlineStr">
        <is>
          <t>Corporate VC</t>
        </is>
      </c>
      <c r="H44" s="16" t="inlineStr">
        <is>
          <t>Series A, Series B (vereinzelt spaete Seed-Runden)</t>
        </is>
      </c>
      <c r="I44" s="15" t="inlineStr">
        <is>
          <t>Ja, fuehrt regelmaessig Runden an</t>
        </is>
      </c>
      <c r="J44" s="16" t="inlineStr">
        <is>
          <t>typischerweise einstelliger Mio.-USD-Bereich pro Investment (nicht offiziell ausgewiesen)</t>
        </is>
      </c>
      <c r="K44" s="16" t="inlineStr">
        <is>
          <t>ueber 1,1 Mrd. USD AUM; Fonds III mit 300 Mio. USD (2026) mit AI-Schwerpunkt</t>
        </is>
      </c>
      <c r="L44" s="15" t="inlineStr">
        <is>
          <t>Teilweise</t>
        </is>
      </c>
      <c r="M44" s="16" t="inlineStr">
        <is>
          <t>Mobilitaet, Automotive, Fertigung, Lieferkette, Energie, Industrial Tech; Fonds III explizit AI entlang der Automobilwertschoepfungskette</t>
        </is>
      </c>
      <c r="N44" s="16" t="inlineStr">
        <is>
          <t>Featherless.ai (guenstige AI-Inferenz), diverse AI-Anwendungen in Fertigung und autonomem Fahren; ueber 90 Portfoliounternehmen</t>
        </is>
      </c>
      <c r="O44" s="16" t="inlineStr">
        <is>
          <t>Indirekt relevant: Automotive-/Autonomie-Kunden sind Grossabnehmer von Annotation-Leistungen, aber kein eigenes Labeling-Investment belegt</t>
        </is>
      </c>
      <c r="P44" s="16" t="inlineStr">
        <is>
          <t>-</t>
        </is>
      </c>
      <c r="Q44" s="16" t="inlineStr">
        <is>
          <t>n/a</t>
        </is>
      </c>
      <c r="R44" s="16" t="inlineStr">
        <is>
          <t>n/a</t>
        </is>
      </c>
      <c r="S44" s="16" t="inlineStr">
        <is>
          <t>n/a</t>
        </is>
      </c>
      <c r="T44" s="16" t="inlineStr">
        <is>
          <t>Kontaktformular auf bmwiventures.com; Office Mountain View, 2606 Bayshore Parkway</t>
        </is>
      </c>
      <c r="U44" s="16" t="inlineStr">
        <is>
          <t>Frischer 300-Mio.-USD-Fonds mit explizitem AI-Fokus und Muenchner Praesenz, aber Einstiegspunkt liegt erst bei Series A/B und die These ist stark auf Mobilitaet und Fertigung zugeschnitten.</t>
        </is>
      </c>
      <c r="V44" s="16" t="inlineStr">
        <is>
          <t>Kaum Pre-Seed/Seed; strategische Corporate-Agenda und moegliche Konflikte mit anderen OEM-Kunden von PathWize; US-zentrierte Entscheidungsstruktur</t>
        </is>
      </c>
      <c r="W44" s="16" t="inlineStr">
        <is>
          <t>Erst ab Series A ansprechen und mit konkreten Referenzen aus Automotive-/Perception-Datenannotation plus Zugang zum BMW-Produktionsnetzwerk argumentieren.</t>
        </is>
      </c>
      <c r="X44" s="18" t="n">
        <v>15</v>
      </c>
      <c r="Y44" s="18" t="n">
        <v>18</v>
      </c>
      <c r="Z44" s="18" t="n">
        <v>11</v>
      </c>
      <c r="AA44" s="18" t="n">
        <v>10</v>
      </c>
      <c r="AB44" s="18" t="n">
        <v>8</v>
      </c>
      <c r="AC44" s="15" t="inlineStr">
        <is>
          <t>Mittel</t>
        </is>
      </c>
      <c r="AD44" s="15" t="inlineStr">
        <is>
          <t>Bestandsliste</t>
        </is>
      </c>
      <c r="AE44" s="16" t="inlineStr">
        <is>
          <t>https://www.bmwiventures.com/</t>
        </is>
      </c>
      <c r="AF44" s="16" t="inlineStr">
        <is>
          <t>https://www.bmwiventures.com/, https://pitchbook.com/profiles/investor/10538-91, https://www.crunchbase.com/organization/bmw-i-ventures</t>
        </is>
      </c>
    </row>
    <row r="45">
      <c r="A45" s="22" t="n">
        <v>41</v>
      </c>
      <c r="B45" s="23" t="inlineStr">
        <is>
          <t>endeit</t>
        </is>
      </c>
      <c r="C45" s="20" t="inlineStr">
        <is>
          <t>B</t>
        </is>
      </c>
      <c r="D45" s="20" t="n">
        <v>62</v>
      </c>
      <c r="E45" s="15" t="inlineStr">
        <is>
          <t>Amsterdam (DACH-Büro: Hamburg; weiteres Büro: Stockholm)</t>
        </is>
      </c>
      <c r="F45" s="15" t="inlineStr">
        <is>
          <t>Niederlande (mit deutschem Standort)</t>
        </is>
      </c>
      <c r="G45" s="15" t="inlineStr">
        <is>
          <t>VC / Growth-Fonds</t>
        </is>
      </c>
      <c r="H45" s="16" t="inlineStr">
        <is>
          <t>Späte Series A bis frühe Series B (Scale-up-/Growth-Phase)</t>
        </is>
      </c>
      <c r="I45" s="15" t="inlineStr">
        <is>
          <t>Ja - führt Wachstumsrunden an bzw. co-leadet sie</t>
        </is>
      </c>
      <c r="J45" s="16" t="inlineStr">
        <is>
          <t>ca. 5 bis 20 Mio. EUR pro Investment (frühere Angabe: 7 bis 15 Mio. EUR Wachstumskapital)</t>
        </is>
      </c>
      <c r="K45" s="16" t="inlineStr">
        <is>
          <t>ca. 430 Mio. EUR AUM; aktueller Fonds über 300 Mio. EUR (ca. 303 Mio. EUR)</t>
        </is>
      </c>
      <c r="L45" s="18" t="inlineStr">
        <is>
          <t>Ja</t>
        </is>
      </c>
      <c r="M45" s="16" t="inlineStr">
        <is>
          <t>AI-enabled Opportunities in Fintech, Climate Tech, Future of Work, Sales Tech, Supply Chain und Security; Geografie DACH, Benelux, Nordics und UK.</t>
        </is>
      </c>
      <c r="N45" s="16" t="inlineStr">
        <is>
          <t>General Intuition (Frontier-AI-Forschungslabor für Foundation Models), Stravito (AI-gestütztes Knowledge Management), Treefera (AI-basierte Lieferketten-Transparenz), Deftpower, Sastrify, Sharpist</t>
        </is>
      </c>
      <c r="O45" s="16" t="inlineStr">
        <is>
          <t>Mittel bis hoch thematisch (General Intuition als Foundation-Model-Investment impliziert Verständnis für Trainingsdatenbedarf), phasenseitig jedoch erst ab spätem Series A relevant.</t>
        </is>
      </c>
      <c r="P45" s="16" t="inlineStr">
        <is>
          <t>-</t>
        </is>
      </c>
      <c r="Q45" s="16" t="inlineStr">
        <is>
          <t>n/a (Hamburger DACH-Team; einzelne Partnernamen auf der Website nicht eindeutig zugeordnet)</t>
        </is>
      </c>
      <c r="R45" s="16" t="inlineStr">
        <is>
          <t>n/a</t>
        </is>
      </c>
      <c r="S45" s="16" t="inlineStr">
        <is>
          <t>n/a</t>
        </is>
      </c>
      <c r="T45" s="16" t="inlineStr">
        <is>
          <t>info@endeit.de (Hamburg, Colonnaden 41, 20354 Hamburg, +49 40 8740 7981) bzw. info@endeit.com</t>
        </is>
      </c>
      <c r="U45" s="16" t="inlineStr">
        <is>
          <t>Endeit hat eine explizite AI-enabled-These, ein Hamburger DACH-Büro und mit General Intuition ein echtes Foundation-Model-Investment, investiert aber erst ab später Series A mit Tickets von 5 bis 20 Mio. EUR - zu spät für die aktuelle Runde.</t>
        </is>
      </c>
      <c r="V45" s="16" t="inlineStr">
        <is>
          <t>Stage- und Ticket-Mismatch für Pre-Seed/Seed. Sektorschwerpunkte (Fintech, Climate, Future of Work) treffen reine Data-Infrastruktur nur indirekt.</t>
        </is>
      </c>
      <c r="W45" s="16" t="inlineStr">
        <is>
          <t>Als Series-A/B-Zielinvestor vormerken und schon jetzt über das Hamburger Büro Beziehung aufbauen, mit General Intuition als Beleg dafür, dass Endeit den Trainingsdaten-Engpass kennt.</t>
        </is>
      </c>
      <c r="X45" s="18" t="n">
        <v>10</v>
      </c>
      <c r="Y45" s="18" t="n">
        <v>20</v>
      </c>
      <c r="Z45" s="18" t="n">
        <v>14</v>
      </c>
      <c r="AA45" s="18" t="n">
        <v>8</v>
      </c>
      <c r="AB45" s="18" t="n">
        <v>10</v>
      </c>
      <c r="AC45" s="18" t="inlineStr">
        <is>
          <t>Hoch</t>
        </is>
      </c>
      <c r="AD45" s="15" t="inlineStr">
        <is>
          <t>Bestandsliste</t>
        </is>
      </c>
      <c r="AE45" s="16" t="inlineStr">
        <is>
          <t>https://www.endeit.com/</t>
        </is>
      </c>
      <c r="AF45" s="16" t="inlineStr">
        <is>
          <t>https://www.endeit.com/, https://tracxn.com/d/venture-capital/endeit-capital/__Qk1NICUiQqoWQ3SitiEBD8rhk02uP2HwqQ2xL9MFP1Y, https://www.vestbee.com/vc-list/endeit-capital, https://techcrunch.com/2021/04/27/endeit-capital-plans-to-boost-european-b-stage-startups-with-its-new-e250m-growth-fund</t>
        </is>
      </c>
    </row>
    <row r="46">
      <c r="A46" s="22" t="n">
        <v>42</v>
      </c>
      <c r="B46" s="23" t="inlineStr">
        <is>
          <t>LocalGlobe / Phoenix Court</t>
        </is>
      </c>
      <c r="C46" s="20" t="inlineStr">
        <is>
          <t>B</t>
        </is>
      </c>
      <c r="D46" s="20" t="n">
        <v>62</v>
      </c>
      <c r="E46" s="15" t="inlineStr">
        <is>
          <t>London</t>
        </is>
      </c>
      <c r="F46" s="15" t="inlineStr">
        <is>
          <t>Grossbritannien</t>
        </is>
      </c>
      <c r="G46" s="15" t="inlineStr">
        <is>
          <t>VC (Fondsfamilie: LocalGlobe, Latitude, Solar, Phoenix Court Works)</t>
        </is>
      </c>
      <c r="H46" s="16" t="inlineStr">
        <is>
          <t>Pre-Seed und Seed (LocalGlobe); Latitude fuer Series B+</t>
        </is>
      </c>
      <c r="I46" s="15" t="inlineStr">
        <is>
          <t>Ja - fuehrt Pre-Seed-/Seed-Runden an (z.B. Trent AI Seed 13 Mio. USD, Apr 2026)</t>
        </is>
      </c>
      <c r="J46" s="16" t="inlineStr">
        <is>
          <t>ca. 250 Tsd. - 2 Mio. GBP</t>
        </is>
      </c>
      <c r="K46" s="16" t="inlineStr">
        <is>
          <t>ca. 500 Mio. USD ueber vier Fonds (LocalGlobe + Latitude); aktueller Fonds n/a</t>
        </is>
      </c>
      <c r="L46" s="15" t="inlineStr">
        <is>
          <t>Teilweise</t>
        </is>
      </c>
      <c r="M46" s="16" t="inlineStr">
        <is>
          <t>Generalistischer fruehester UK-/Europa-Investor, 'The New Palo Alto' (King's Cross); Fintech, SaaS, Consumer, Marktplaetze, zunehmend AI</t>
        </is>
      </c>
      <c r="N46" s="16" t="inlineStr">
        <is>
          <t>Faculty (Enterprise AI), Trent AI (Multi-Agent-AI-Security, Seed 2026), Improbable; Kernportfolio ist Wise, Figma, TravelPerk, Zoopla, Cleo, Motorway</t>
        </is>
      </c>
      <c r="O46" s="16" t="inlineStr">
        <is>
          <t>Gering - kein Data-Infra-, MLOps- oder Labeling-Investment belegbar; Portfolio ist ueberwiegend Anwendungs- und Consumer-lastig</t>
        </is>
      </c>
      <c r="P46" s="16" t="inlineStr">
        <is>
          <t>-</t>
        </is>
      </c>
      <c r="Q46" s="16" t="inlineStr">
        <is>
          <t>n/a (kein dedizierter Data-Infra- oder AI-Partner auf der Website ausgewiesen)</t>
        </is>
      </c>
      <c r="R46" s="16" t="inlineStr">
        <is>
          <t>n/a</t>
        </is>
      </c>
      <c r="S46" s="16" t="inlineStr">
        <is>
          <t>n/a</t>
        </is>
      </c>
      <c r="T46" s="16" t="inlineStr">
        <is>
          <t>Kein oeffentliches Pitch-Formular; Buero 2 Brill Place, London NW1 1DX; Kontakt ueber phoenixcourt.vc</t>
        </is>
      </c>
      <c r="U46" s="16" t="inlineStr">
        <is>
          <t>Stage und Ticketgroesse passen, aber LocalGlobe ist ein Generalist ohne AI-/Data-Infra-These und ohne belegte MLOps- oder Trainingsdaten-Investments; zudem nur 3-4 Neuinvestments in 2025/2026.</t>
        </is>
      </c>
      <c r="V46" s="16" t="inlineStr">
        <is>
          <t>Keine AI-/Data-These, kein Data-Infra-Track-Record; deutlich reduzierte Investitionsaktivitaet; aktuelle Fondsgroesse nicht belegbar; stark UK-zentriert; kein oeffentlicher Zugangsweg</t>
        </is>
      </c>
      <c r="W46" s="16" t="inlineStr">
        <is>
          <t>Nur ueber warme Einfuehrung sinnvoll - Aufhaenger waere Faculty als Enterprise-AI-Referenz und PathWize als europaeische Alternative zu US-Labeling-Anbietern.</t>
        </is>
      </c>
      <c r="X46" s="18" t="n">
        <v>28</v>
      </c>
      <c r="Y46" s="18" t="n">
        <v>14</v>
      </c>
      <c r="Z46" s="18" t="n">
        <v>8</v>
      </c>
      <c r="AA46" s="18" t="n">
        <v>5</v>
      </c>
      <c r="AB46" s="18" t="n">
        <v>7</v>
      </c>
      <c r="AC46" s="15" t="inlineStr">
        <is>
          <t>Mittel</t>
        </is>
      </c>
      <c r="AD46" s="15" t="inlineStr">
        <is>
          <t>Bestandsliste</t>
        </is>
      </c>
      <c r="AE46" s="16" t="inlineStr">
        <is>
          <t>https://www.phoenixcourt.vc/localglobe</t>
        </is>
      </c>
      <c r="AF46" s="16" t="inlineStr">
        <is>
          <t>https://www.phoenixcourt.vc/localglobe, https://tracxn.com/d/venture-capital/phoenix-court/__8RqZHCwiOSPB9aKkWvoVqeHh3A1oD87JFt-Lrm5lPQs, https://hub.waveup.com/funds/phoenix-court-group-localglobe-latitude</t>
        </is>
      </c>
    </row>
    <row r="47">
      <c r="A47" s="22" t="n">
        <v>43</v>
      </c>
      <c r="B47" s="23" t="inlineStr">
        <is>
          <t>rethink ventures</t>
        </is>
      </c>
      <c r="C47" s="20" t="inlineStr">
        <is>
          <t>B</t>
        </is>
      </c>
      <c r="D47" s="20" t="n">
        <v>61</v>
      </c>
      <c r="E47" s="15" t="inlineStr">
        <is>
          <t>München</t>
        </is>
      </c>
      <c r="F47" s="15" t="inlineStr">
        <is>
          <t>Deutschland</t>
        </is>
      </c>
      <c r="G47" s="15" t="inlineStr">
        <is>
          <t>VC (Sektorspezialist)</t>
        </is>
      </c>
      <c r="H47" s="16" t="inlineStr">
        <is>
          <t>Seed, Series A</t>
        </is>
      </c>
      <c r="I47" s="15" t="inlineStr">
        <is>
          <t>Ja — als Spezialfonds regelmäßig Lead in Seed-Runden seines Sektors</t>
        </is>
      </c>
      <c r="J47" s="16" t="inlineStr">
        <is>
          <t>n/a (nicht publiziert)</t>
        </is>
      </c>
      <c r="K47" s="16" t="inlineStr">
        <is>
          <t>50 Mio. EUR (Fonds I, aufgelegt März 2023)</t>
        </is>
      </c>
      <c r="L47" s="15" t="inlineStr">
        <is>
          <t>Teilweise</t>
        </is>
      </c>
      <c r="M47" s="16" t="inlineStr">
        <is>
          <t>Europäische Mobilität, Automotive, Transport, Logistik und Supply Chain; 'Redefining the transportation sector'; Netzwerk aus industriellen Corporate-Partnern als Kundenzugang</t>
        </is>
      </c>
      <c r="N47" s="16" t="inlineStr">
        <is>
          <t>driveblocks (AI-Perception für autonome Nutzfahrzeuge — direkter Trainingsdaten-Bedarf), S2 data (Transportplanungs-AI), good2know (Automotive Data Intelligence), shipzero (Emissionsdaten), Enabl Tech (Lagerautomatisierung), Nautica (autonome Unterwasserrobotik)</t>
        </is>
      </c>
      <c r="O47" s="16" t="inlineStr">
        <is>
          <t>Hoch im Anwendungsfall — autonome Fahrzeuge und Robotik sind der klassische Kernmarkt für Sensor- und Bild-Annotation; driveblocks und Nautica sind konkrete potenzielle Kunden, allerdings investiert der Fonds in Mobility-Anwendungen, nicht in horizontale Data-Infrastruktur</t>
        </is>
      </c>
      <c r="P47" s="16" t="inlineStr">
        <is>
          <t>Data-Infra-nah</t>
        </is>
      </c>
      <c r="Q47" s="16" t="inlineStr">
        <is>
          <t>Jens-Philipp Klein</t>
        </is>
      </c>
      <c r="R47" s="16" t="inlineStr">
        <is>
          <t>Co-Founder &amp; Partner (gemeinsam mit Matthias Schanze Gründer des 50-Mio.-EUR-Fonds)</t>
        </is>
      </c>
      <c r="S47" s="16" t="inlineStr">
        <is>
          <t>n/a</t>
        </is>
      </c>
      <c r="T47" s="16" t="inlineStr">
        <is>
          <t>'Get in touch' auf rethinkventures.com</t>
        </is>
      </c>
      <c r="U47" s="16" t="inlineStr">
        <is>
          <t>Der Sektorfokus Mobility/Autonomie ist zwar kein AI-Infrastruktur-Mandat, aber genau der Markt, in dem annotierte Sensordaten geschäftskritisch sind — driveblocks und Nautica belegen das im eigenen Portfolio. Stage und DACH-Zugang passen.</t>
        </is>
      </c>
      <c r="V47" s="16" t="inlineStr">
        <is>
          <t>Enges vertikales Mandat auf Mobility/Logistik — horizontales Data Labeling passt formal nicht ins Investmentprofil; mit 50 Mio. EUR ein kleiner Fonds mit begrenzter Follow-on-Kapazität; Fonds I aus 2023, Investitionsphase vermutlich fortgeschritten</t>
        </is>
      </c>
      <c r="W47" s="16" t="inlineStr">
        <is>
          <t>Mit dem driveblocks-Argument einsteigen: PathWize liefert die annotierten Sensor- und Perception-Datensätze, an denen europäische Autonomie-Startups im Portfolio typischerweise am längsten hängen.</t>
        </is>
      </c>
      <c r="X47" s="18" t="n">
        <v>26</v>
      </c>
      <c r="Y47" s="18" t="n">
        <v>10</v>
      </c>
      <c r="Z47" s="18" t="n">
        <v>8</v>
      </c>
      <c r="AA47" s="18" t="n">
        <v>7</v>
      </c>
      <c r="AB47" s="18" t="n">
        <v>10</v>
      </c>
      <c r="AC47" s="15" t="inlineStr">
        <is>
          <t>Mittel</t>
        </is>
      </c>
      <c r="AD47" s="15" t="inlineStr">
        <is>
          <t>Bestandsliste</t>
        </is>
      </c>
      <c r="AE47" s="16" t="inlineStr">
        <is>
          <t>https://rethinkventures.com/</t>
        </is>
      </c>
      <c r="AF47" s="16" t="inlineStr">
        <is>
          <t>https://rethinkventures.com/, https://rethinkventures.com/fund-launch/, https://techcrunch.com/2023/03/14/rethink-logistics-fund/, https://www.eu-startups.com/2023/03/rethink-ventures-launches-e50-million-fund-to-shape-the-future-of-sustainable-mobility/</t>
        </is>
      </c>
    </row>
  </sheetData>
  <autoFilter ref="A4:AF47"/>
  <mergeCells count="2">
    <mergeCell ref="A1:AF1"/>
    <mergeCell ref="A2:AF2"/>
  </mergeCells>
  <pageMargins left="0.75" right="0.75" top="1" bottom="1" header="0.5" footer="0.5"/>
</worksheet>
</file>

<file path=xl/worksheets/sheet5.xml><?xml version="1.0" encoding="utf-8"?>
<worksheet xmlns="http://schemas.openxmlformats.org/spreadsheetml/2006/main">
  <sheetPr>
    <tabColor rgb="00ED7D31"/>
    <outlinePr summaryBelow="1" summaryRight="1"/>
    <pageSetUpPr/>
  </sheetPr>
  <dimension ref="A1:AF6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6" customWidth="1" min="3" max="3"/>
    <col width="7" customWidth="1" min="4" max="4"/>
    <col width="14" customWidth="1" min="5" max="5"/>
    <col width="7" customWidth="1" min="6" max="6"/>
    <col width="14" customWidth="1" min="7" max="7"/>
    <col width="22" customWidth="1" min="8" max="8"/>
    <col width="12" customWidth="1" min="9" max="9"/>
    <col width="20" customWidth="1" min="10" max="10"/>
    <col width="24" customWidth="1" min="11" max="11"/>
    <col width="12" customWidth="1" min="12" max="12"/>
    <col width="42" customWidth="1" min="13" max="13"/>
    <col width="40" customWidth="1" min="14" max="14"/>
    <col width="34" customWidth="1" min="15" max="15"/>
    <col width="32" customWidth="1" min="16" max="16"/>
    <col width="22" customWidth="1" min="17" max="17"/>
    <col width="20" customWidth="1" min="18" max="18"/>
    <col width="30" customWidth="1" min="19" max="19"/>
    <col width="30" customWidth="1" min="20" max="20"/>
    <col width="48" customWidth="1" min="21" max="21"/>
    <col width="34" customWidth="1" min="22" max="22"/>
    <col width="46" customWidth="1" min="23" max="23"/>
    <col width="9" customWidth="1" min="24" max="24"/>
    <col width="9" customWidth="1" min="25" max="25"/>
    <col width="11" customWidth="1" min="26" max="26"/>
    <col width="11" customWidth="1" min="27" max="27"/>
    <col width="9" customWidth="1" min="28" max="28"/>
    <col width="11" customWidth="1" min="29" max="29"/>
    <col width="20" customWidth="1" min="30" max="30"/>
    <col width="28" customWidth="1" min="31" max="31"/>
    <col width="46" customWidth="1" min="32" max="32"/>
  </cols>
  <sheetData>
    <row r="1" ht="28" customHeight="1">
      <c r="A1" s="1" t="inlineStr">
        <is>
          <t>Tier C – opportunistisch (Score 40–59)</t>
        </is>
      </c>
    </row>
    <row r="2" ht="18" customHeight="1">
      <c r="A2" s="2" t="inlineStr">
        <is>
          <t>Nur mit warmem Intro oder als Co-Investor sinnvoll.</t>
        </is>
      </c>
    </row>
    <row r="4" ht="34" customHeight="1">
      <c r="A4" s="11" t="inlineStr">
        <is>
          <t>Rang</t>
        </is>
      </c>
      <c r="B4" s="11" t="inlineStr">
        <is>
          <t>VC / Fonds</t>
        </is>
      </c>
      <c r="C4" s="11" t="inlineStr">
        <is>
          <t>Tier</t>
        </is>
      </c>
      <c r="D4" s="11" t="inlineStr">
        <is>
          <t>Score</t>
        </is>
      </c>
      <c r="E4" s="11" t="inlineStr">
        <is>
          <t>Stadt</t>
        </is>
      </c>
      <c r="F4" s="11" t="inlineStr">
        <is>
          <t>Land</t>
        </is>
      </c>
      <c r="G4" s="11" t="inlineStr">
        <is>
          <t>Typ</t>
        </is>
      </c>
      <c r="H4" s="11" t="inlineStr">
        <is>
          <t>Stage-Fokus</t>
        </is>
      </c>
      <c r="I4" s="11" t="inlineStr">
        <is>
          <t>Leads Runden?</t>
        </is>
      </c>
      <c r="J4" s="11" t="inlineStr">
        <is>
          <t>Ticket-Size</t>
        </is>
      </c>
      <c r="K4" s="11" t="inlineStr">
        <is>
          <t>Fondsgroesse / AUM</t>
        </is>
      </c>
      <c r="L4" s="11" t="inlineStr">
        <is>
          <t>AI/Data-Fokus</t>
        </is>
      </c>
      <c r="M4" s="11" t="inlineStr">
        <is>
          <t>Sektor-These</t>
        </is>
      </c>
      <c r="N4" s="11" t="inlineStr">
        <is>
          <t>Portfolio AI / Data-Infra</t>
        </is>
      </c>
      <c r="O4" s="11" t="inlineStr">
        <is>
          <t>Data-Labeling-Relevanz</t>
        </is>
      </c>
      <c r="P4" s="11" t="inlineStr">
        <is>
          <t>Labeling-Signal</t>
        </is>
      </c>
      <c r="Q4" s="11" t="inlineStr">
        <is>
          <t>Relevanter Partner</t>
        </is>
      </c>
      <c r="R4" s="11" t="inlineStr">
        <is>
          <t>Rolle</t>
        </is>
      </c>
      <c r="S4" s="11" t="inlineStr">
        <is>
          <t>LinkedIn</t>
        </is>
      </c>
      <c r="T4" s="11" t="inlineStr">
        <is>
          <t>Kontakt</t>
        </is>
      </c>
      <c r="U4" s="11" t="inlineStr">
        <is>
          <t>Fit-Begruendung</t>
        </is>
      </c>
      <c r="V4" s="11" t="inlineStr">
        <is>
          <t>Red Flags</t>
        </is>
      </c>
      <c r="W4" s="11" t="inlineStr">
        <is>
          <t>Outreach-Angle</t>
        </is>
      </c>
      <c r="X4" s="11" t="inlineStr">
        <is>
          <t>Stage (30)</t>
        </is>
      </c>
      <c r="Y4" s="11" t="inlineStr">
        <is>
          <t>These (30)</t>
        </is>
      </c>
      <c r="Z4" s="11" t="inlineStr">
        <is>
          <t>Portfolio (20)</t>
        </is>
      </c>
      <c r="AA4" s="11" t="inlineStr">
        <is>
          <t>Aktivitaet (10)</t>
        </is>
      </c>
      <c r="AB4" s="11" t="inlineStr">
        <is>
          <t>Geo (10)</t>
        </is>
      </c>
      <c r="AC4" s="11" t="inlineStr">
        <is>
          <t>Konfidenz</t>
        </is>
      </c>
      <c r="AD4" s="11" t="inlineStr">
        <is>
          <t>Herkunft</t>
        </is>
      </c>
      <c r="AE4" s="11" t="inlineStr">
        <is>
          <t>Website</t>
        </is>
      </c>
      <c r="AF4" s="11" t="inlineStr">
        <is>
          <t>Quellen</t>
        </is>
      </c>
    </row>
    <row r="5">
      <c r="A5" s="24" t="n">
        <v>1</v>
      </c>
      <c r="B5" s="25" t="inlineStr">
        <is>
          <t>aws Gründerfonds</t>
        </is>
      </c>
      <c r="C5" s="26" t="inlineStr">
        <is>
          <t>C</t>
        </is>
      </c>
      <c r="D5" s="26" t="n">
        <v>59</v>
      </c>
      <c r="E5" s="18" t="inlineStr">
        <is>
          <t>Wien</t>
        </is>
      </c>
      <c r="F5" s="15" t="inlineStr">
        <is>
          <t>Oesterreich</t>
        </is>
      </c>
      <c r="G5" s="15" t="inlineStr">
        <is>
          <t>Staatsnaher VC (Austria Wirtschaftsservice / aws Gruendungsfonds)</t>
        </is>
      </c>
      <c r="H5" s="16" t="inlineStr">
        <is>
          <t>Seed und Series A (Frueh- bis Wachstumsphase)</t>
        </is>
      </c>
      <c r="I5" s="15" t="inlineStr">
        <is>
          <t>Teilweise (haeufig Co-Investor in oesterreichischen Runden)</t>
        </is>
      </c>
      <c r="J5" s="16" t="inlineStr">
        <is>
          <t>n/a (nicht auf der Website ausgewiesen)</t>
        </is>
      </c>
      <c r="K5" s="16" t="inlineStr">
        <is>
          <t>EUR 140 Mio. Fondsvolumen; 28 aktive Beteiligungen, 30 Exits</t>
        </is>
      </c>
      <c r="L5" s="15" t="inlineStr">
        <is>
          <t>Teilweise</t>
        </is>
      </c>
      <c r="M5" s="16" t="inlineStr">
        <is>
          <t>'Venture Capital fuer Unternehmen mit wachstumsstarker Technologie' - sektoroffen, technologiegetrieben, mit klarem Oesterreich-Mandat (aws als Foerderbank).</t>
        </is>
      </c>
      <c r="N5" s="16" t="inlineStr">
        <is>
          <t>Prewave (AI-basiertes Lieferketten-Risikomonitoring, NLP auf Milliarden Datenpunkten - Unicorn-Kandidat), PlanRadar, ToolSense (IoT/Asset-Daten), refinq (Klimarisiko-Analytics), Visplore-nahes Umfeld</t>
        </is>
      </c>
      <c r="O5" s="16" t="inlineStr">
        <is>
          <t>Mittel: Prewave belegt Verstaendnis fuer datengetriebene AI-Geschaeftsmodelle, aber keine Labeling-/MLOps-Investments.</t>
        </is>
      </c>
      <c r="P5" s="16" t="inlineStr">
        <is>
          <t>-</t>
        </is>
      </c>
      <c r="Q5" s="16" t="inlineStr">
        <is>
          <t>n/a (Team u.a. Patrik Cesky, Peter Muehlbauer, Markus Jandrinitsch; Rollen auf der Website nicht ausgewiesen)</t>
        </is>
      </c>
      <c r="R5" s="16" t="inlineStr">
        <is>
          <t>n/a</t>
        </is>
      </c>
      <c r="S5" s="16" t="inlineStr">
        <is>
          <t>n/a</t>
        </is>
      </c>
      <c r="T5" s="16" t="inlineStr">
        <is>
          <t>Pitch-Einreichung ueber https://www.gruendungsfonds.at ('Submit Pitch'), Kontaktseite /kontakt</t>
        </is>
      </c>
      <c r="U5" s="16" t="inlineStr">
        <is>
          <t>Aktiver, sektoroffener Seed-/Series-A-Fonds mit EUR 140 Mio. und einem starken AI-Datencase (Prewave) - scheitert fuer PathWize aber am oesterreichischen Standortmandat.</t>
        </is>
      </c>
      <c r="V5" s="16" t="inlineStr">
        <is>
          <t>KO-Kriterium Geografie: aws-Mandat verlangt in der Regel einen Unternehmenssitz bzw. substanzielle Wertschoepfung in Oesterreich; Ticketgroessen nicht transparent; Rollen im Team nicht ausgewiesen.</t>
        </is>
      </c>
      <c r="W5" s="16" t="inlineStr">
        <is>
          <t>Nur relevant, wenn PathWize eine oesterreichische Gesellschaft oder ein Delivery-/Annotation-Hub in Oesterreich aufbaut - dann als Co-Investor neben einem deutschen Lead ansprechen.</t>
        </is>
      </c>
      <c r="X5" s="18" t="n">
        <v>26</v>
      </c>
      <c r="Y5" s="18" t="n">
        <v>12</v>
      </c>
      <c r="Z5" s="18" t="n">
        <v>10</v>
      </c>
      <c r="AA5" s="18" t="n">
        <v>8</v>
      </c>
      <c r="AB5" s="18" t="n">
        <v>3</v>
      </c>
      <c r="AC5" s="15" t="inlineStr">
        <is>
          <t>Mittel</t>
        </is>
      </c>
      <c r="AD5" s="15" t="inlineStr">
        <is>
          <t>Bestandsliste</t>
        </is>
      </c>
      <c r="AE5" s="16" t="inlineStr">
        <is>
          <t>https://www.gruendungsfonds.at</t>
        </is>
      </c>
      <c r="AF5" s="16" t="inlineStr">
        <is>
          <t>https://www.gruendungsfonds.at/, https://www.gruenderfonds.at/en/ (Redirect)</t>
        </is>
      </c>
    </row>
    <row r="6">
      <c r="A6" s="24" t="n">
        <v>2</v>
      </c>
      <c r="B6" s="25" t="inlineStr">
        <is>
          <t>Hannover Digital Investments (HDInv)</t>
        </is>
      </c>
      <c r="C6" s="26" t="inlineStr">
        <is>
          <t>C</t>
        </is>
      </c>
      <c r="D6" s="26" t="n">
        <v>59</v>
      </c>
      <c r="E6" s="15" t="inlineStr">
        <is>
          <t>Hannover</t>
        </is>
      </c>
      <c r="F6" s="15" t="inlineStr">
        <is>
          <t>Deutschland</t>
        </is>
      </c>
      <c r="G6" s="15" t="inlineStr">
        <is>
          <t>Corporate VC (HDI Group / Talanx)</t>
        </is>
      </c>
      <c r="H6" s="16" t="inlineStr">
        <is>
          <t>Seed, Series A, Series B - Schwerpunkt Series A</t>
        </is>
      </c>
      <c r="I6" s="15" t="inlineStr">
        <is>
          <t>Selten Lead, ueberwiegend Co-Investor an der Seite von Lead-VCs</t>
        </is>
      </c>
      <c r="J6" s="16" t="inlineStr">
        <is>
          <t>n/a (Runden mit HDInv-Beteiligung im zweistelligen Mio.-Bereich)</t>
        </is>
      </c>
      <c r="K6" s="16" t="inlineStr">
        <is>
          <t>n/a (Bilanzinvestments der HDI/Talanx-Gruppe, kein eigener Fonds ausgewiesen)</t>
        </is>
      </c>
      <c r="L6" s="15" t="inlineStr">
        <is>
          <t>Teilweise</t>
        </is>
      </c>
      <c r="M6" s="16" t="inlineStr">
        <is>
          <t>Digitale Geschaeftsmodelle mit Bezug zur Versicherungswirtschaft: InsurTech, Data Analytics, Cybersecurity, B2B-SaaS, Enterprise Applications, FinTech, IoT, AI/ML.</t>
        </is>
      </c>
      <c r="N6" s="16" t="inlineStr">
        <is>
          <t>Genus AI, Enginsight (Cybersecurity), Alyne (GRC-Software, exited), Planck (AI-Datenanalyse fuer Underwriting, exited), LiveEO (Geodaten-Analytics), Clearcover, Vitesse.</t>
        </is>
      </c>
      <c r="O6" s="16" t="inlineStr">
        <is>
          <t>Mittel-gering: Planck und LiveEO zeigen Verstaendnis fuer datengetriebene ML-Pipelines, aber kein Investment in Labeling-/Annotation-Infrastruktur.</t>
        </is>
      </c>
      <c r="P6" s="16" t="inlineStr">
        <is>
          <t>-</t>
        </is>
      </c>
      <c r="Q6" s="16" t="inlineStr">
        <is>
          <t>n/a</t>
        </is>
      </c>
      <c r="R6" s="16" t="inlineStr">
        <is>
          <t>n/a</t>
        </is>
      </c>
      <c r="S6" s="16" t="inlineStr">
        <is>
          <t>n/a</t>
        </is>
      </c>
      <c r="T6" s="16" t="inlineStr">
        <is>
          <t>Kontaktformular auf hannover-digital-invest.com; LinkedIn-Unternehmensseite</t>
        </is>
      </c>
      <c r="U6" s="16" t="inlineStr">
        <is>
          <t>Deutscher Corporate-VC mit belegtem Interesse an Data Analytics und ML (Planck, LiveEO, Genus AI), aber der strategische Filter ist Versicherung/Talanx und die Aktivitaet mit rund zwei Deals pro Jahr sehr niedrig.</t>
        </is>
      </c>
      <c r="V6" s="16" t="inlineStr">
        <is>
          <t>Sehr geringe Deal-Frequenz (letzte publizierte Investments 2024); strategischer Corporate-Filter; Schwerpunkt Series A statt Pre-Seed; kein transparenter Fonds/Dry Powder.</t>
        </is>
      </c>
      <c r="W6" s="16" t="inlineStr">
        <is>
          <t>PathWize als Lieferant fuer annotierte Schadens-, Dokumenten- und Geodaten positionieren, die HDI/Talanx-Einheiten direkt fuer eigene ML-Modelle nutzen koennten.</t>
        </is>
      </c>
      <c r="X6" s="18" t="n">
        <v>22</v>
      </c>
      <c r="Y6" s="18" t="n">
        <v>12</v>
      </c>
      <c r="Z6" s="18" t="n">
        <v>10</v>
      </c>
      <c r="AA6" s="18" t="n">
        <v>5</v>
      </c>
      <c r="AB6" s="18" t="n">
        <v>10</v>
      </c>
      <c r="AC6" s="15" t="inlineStr">
        <is>
          <t>Mittel</t>
        </is>
      </c>
      <c r="AD6" s="15" t="inlineStr">
        <is>
          <t>Bestandsliste</t>
        </is>
      </c>
      <c r="AE6" s="16" t="inlineStr">
        <is>
          <t>https://www.hannover-digital-invest.com/de</t>
        </is>
      </c>
      <c r="AF6" s="16" t="inlineStr">
        <is>
          <t>https://www.hannover-digital-invest.com/de, https://tracxn.com/d/venture-capital/hannover-digital-investments/__soh75-uBmQf1PS0CUYmUEVcUDizRe4EL1cyMTcHwOKg, https://www.crunchbase.com/organization/hannover-digital-investments-gmbh, https://www.caplight.com/investor/hannover-digital-investments</t>
        </is>
      </c>
    </row>
    <row r="7">
      <c r="A7" s="24" t="n">
        <v>3</v>
      </c>
      <c r="B7" s="25" t="inlineStr">
        <is>
          <t>Planet A Ventures</t>
        </is>
      </c>
      <c r="C7" s="26" t="inlineStr">
        <is>
          <t>C</t>
        </is>
      </c>
      <c r="D7" s="26" t="n">
        <v>58</v>
      </c>
      <c r="E7" s="15" t="inlineStr">
        <is>
          <t>Hamburg / Berlin</t>
        </is>
      </c>
      <c r="F7" s="15" t="inlineStr">
        <is>
          <t>Deutschland</t>
        </is>
      </c>
      <c r="G7" s="15" t="inlineStr">
        <is>
          <t>VC (Impact / Climate)</t>
        </is>
      </c>
      <c r="H7" s="16" t="inlineStr">
        <is>
          <t>Pre-Seed bis Series A</t>
        </is>
      </c>
      <c r="I7" s="15" t="inlineStr">
        <is>
          <t>Ja — führt und co-führt Seed-Runden in ihren Impact-Sektoren</t>
        </is>
      </c>
      <c r="J7" s="16" t="inlineStr">
        <is>
          <t>500.000 - 4 Mio. EUR (teils bis 5 Mio. EUR) Erstinvestment</t>
        </is>
      </c>
      <c r="K7" s="16" t="inlineStr">
        <is>
          <t>ca. 160 Mio. EUR (Fund I, 2023 aufgelegt), 42 Portfoliounternehmen, 10 Investments allein 2025</t>
        </is>
      </c>
      <c r="L7" s="18" t="inlineStr">
        <is>
          <t>Nein</t>
        </is>
      </c>
      <c r="M7" s="16" t="inlineStr">
        <is>
          <t>Science-based Impact Investing: jedes Investment muss messbar auf Klimaschutz, Abfallvermeidung, Ressourceneffizienz oder Biodiversität einzahlen; 'deeply technical founders shifting systems, not shipping features'; paneuropäisch</t>
        </is>
      </c>
      <c r="N7" s="16" t="inlineStr">
        <is>
          <t>Kein dediziertes AI-/Data-Infra-Investment; Makersite (Produkt-/Lieferketten-Datenplattform) ist der nächste Nachbar; weitere: Hived, AUAR (Bau-Robotik), traceless, Project Eaden</t>
        </is>
      </c>
      <c r="O7" s="16" t="inlineStr">
        <is>
          <t>Gering — Planet A verlangt einen wissenschaftlich quantifizierbaren Umweltimpact pro Investment, den ein horizontaler Data-Labeling-Anbieter nicht liefern kann</t>
        </is>
      </c>
      <c r="P7" s="16" t="inlineStr">
        <is>
          <t>Data-Infra-nah</t>
        </is>
      </c>
      <c r="Q7" s="16" t="inlineStr">
        <is>
          <t>n/a (Gründungsteam um Nick de la Forge und Fridtjof Detzner; kein AI-/Data-spezifischer Partner belegbar)</t>
        </is>
      </c>
      <c r="R7" s="16" t="inlineStr">
        <is>
          <t>n/a</t>
        </is>
      </c>
      <c r="S7" s="16" t="inlineStr">
        <is>
          <t>n/a</t>
        </is>
      </c>
      <c r="T7" s="16" t="inlineStr">
        <is>
          <t>Kontakt über planet-a.com; kein verifiziertes öffentliches Pitch-Formular</t>
        </is>
      </c>
      <c r="U7" s="16" t="inlineStr">
        <is>
          <t>Stage, Ticketgröße und Aktivität passen sehr gut, aber Planet A prüft jedes Investment auf messbaren Umwelt-Impact per Life-Cycle-Assessment — Data Labeling erfüllt dieses Mandatskriterium nicht.</t>
        </is>
      </c>
      <c r="V7" s="16" t="inlineStr">
        <is>
          <t>Hartes Impact-Mandat mit wissenschaftlichem Assessment als Investment-Gate; kein einziges AI-Infrastruktur-Investment im Portfolio; AI wird nicht als Sektor genannt</t>
        </is>
      </c>
      <c r="W7" s="16" t="inlineStr">
        <is>
          <t>Nur mit belastbarem Impact-Narrativ versuchen: PathWize als Enabler energieeffizienterer Modelle durch bessere statt mehr Trainingsdaten plus Klima-/Umwelt-Datensätze als Anwendungsfall — realistisch aber niedrige Priorität.</t>
        </is>
      </c>
      <c r="X7" s="18" t="n">
        <v>28</v>
      </c>
      <c r="Y7" s="18" t="n">
        <v>6</v>
      </c>
      <c r="Z7" s="18" t="n">
        <v>5</v>
      </c>
      <c r="AA7" s="18" t="n">
        <v>9</v>
      </c>
      <c r="AB7" s="18" t="n">
        <v>10</v>
      </c>
      <c r="AC7" s="15" t="inlineStr">
        <is>
          <t>Mittel</t>
        </is>
      </c>
      <c r="AD7" s="15" t="inlineStr">
        <is>
          <t>Bestandsliste</t>
        </is>
      </c>
      <c r="AE7" s="16" t="inlineStr">
        <is>
          <t>https://planet-a.com/</t>
        </is>
      </c>
      <c r="AF7" s="16" t="inlineStr">
        <is>
          <t>https://planet-a.com/, https://techcrunch.com/2023/02/08/planet-a-ventures-comes-out-of-the-door-with-a-e160m-european-science-backed-climate-fund, https://www.vcsheet.com/fund/planet-a-ventures</t>
        </is>
      </c>
    </row>
    <row r="8">
      <c r="A8" s="24" t="n">
        <v>4</v>
      </c>
      <c r="B8" s="25" t="inlineStr">
        <is>
          <t>Revent</t>
        </is>
      </c>
      <c r="C8" s="26" t="inlineStr">
        <is>
          <t>C</t>
        </is>
      </c>
      <c r="D8" s="26" t="n">
        <v>58</v>
      </c>
      <c r="E8" s="15" t="inlineStr">
        <is>
          <t>Berlin</t>
        </is>
      </c>
      <c r="F8" s="15" t="inlineStr">
        <is>
          <t>Deutschland</t>
        </is>
      </c>
      <c r="G8" s="15" t="inlineStr">
        <is>
          <t>VC (Impact)</t>
        </is>
      </c>
      <c r="H8" s="16" t="inlineStr">
        <is>
          <t>Pre-Seed und Seed</t>
        </is>
      </c>
      <c r="I8" s="15" t="inlineStr">
        <is>
          <t>Ja — Tickets bis 3 Mio. EUR erlauben Lead-Position im Seed</t>
        </is>
      </c>
      <c r="J8" s="16" t="inlineStr">
        <is>
          <t>500.000 - 3 Mio. EUR</t>
        </is>
      </c>
      <c r="K8" s="16" t="inlineStr">
        <is>
          <t>n/a (nicht publiziert); 25+ Portfoliounternehmen</t>
        </is>
      </c>
      <c r="L8" s="15" t="inlineStr">
        <is>
          <t>Teilweise</t>
        </is>
      </c>
      <c r="M8" s="16" t="inlineStr">
        <is>
          <t>Impact in drei Feldern: Climate, Health und Empowerment; skalierbare, defensible Technologie für 'step change improvements'; Investmentschwelle: 100 Mio. USD ARR-Potenzial und 'impact fund returner' innerhalb einer Dekade; Europa</t>
        </is>
      </c>
      <c r="N8" s="16" t="inlineStr">
        <is>
          <t>Kein AI-Infrastruktur-Investment; datenintensive Anwendungen: Forward Earth (embedded AI für Lieferketten-Dekarbonisierung), Electricity Maps (granulare Echtzeit-Strom-Daten-APIs), apiday (AI-gestütztes ESG-Reporting), Sylvera (Carbon-Projekt-Analytik), Avelios (Healthcare-Workflows)</t>
        </is>
      </c>
      <c r="O8" s="16" t="inlineStr">
        <is>
          <t>Gering bis mittel — AI taucht durchgehend als Anwendungsschicht auf, nie als Investmentthese; Datenplattformen wie Electricity Maps zeigen aber Verständnis für Datenprodukt-Geschäftsmodelle</t>
        </is>
      </c>
      <c r="P8" s="16" t="inlineStr">
        <is>
          <t>-</t>
        </is>
      </c>
      <c r="Q8" s="16" t="inlineStr">
        <is>
          <t>Otto Birnbaum</t>
        </is>
      </c>
      <c r="R8" s="16" t="inlineStr">
        <is>
          <t>General Partner (gemeinsam mit Dr. Lauren Lentz); weiterer Partner: Henrik Grosse Hokamp; Venture Partner: Emily Brooke MBE</t>
        </is>
      </c>
      <c r="S8" s="16" t="inlineStr">
        <is>
          <t>n/a</t>
        </is>
      </c>
      <c r="T8" s="16" t="inlineStr">
        <is>
          <t>Kontakt über revent.vc; kein verifiziertes öffentliches Pitch-Formular</t>
        </is>
      </c>
      <c r="U8" s="16" t="inlineStr">
        <is>
          <t>Pre-Seed/Seed mit 500k-3M EUR und Europa-Fokus passt formal ideal, aber Revents Mandat verlangt einen Impact-Case in Climate, Health oder Empowerment, den ein horizontaler Data-Labeling-Anbieter nur konstruiert erfüllt.</t>
        </is>
      </c>
      <c r="V8" s="16" t="inlineStr">
        <is>
          <t>Hartes Impact-Mandat als Investment-Gate; kein AI-/Data-Infra-Investment im Portfolio; Fondsvolumen nicht publiziert; hohe Renditeschwelle (100 Mio. USD ARR-Potenzial) für ein Service-nahes Geschäftsmodell schwer zu argumentieren</t>
        </is>
      </c>
      <c r="W8" s="16" t="inlineStr">
        <is>
          <t>Nur über den Empowerment-Winkel: PathWize schafft qualifizierte, fair bezahlte Human-in-the-loop-Arbeit und macht AI-Trainingsdaten weniger verzerrt — das ist die einzige Brücke zu Revents Mandat.</t>
        </is>
      </c>
      <c r="X8" s="18" t="n">
        <v>28</v>
      </c>
      <c r="Y8" s="18" t="n">
        <v>7</v>
      </c>
      <c r="Z8" s="18" t="n">
        <v>5</v>
      </c>
      <c r="AA8" s="18" t="n">
        <v>8</v>
      </c>
      <c r="AB8" s="18" t="n">
        <v>10</v>
      </c>
      <c r="AC8" s="15" t="inlineStr">
        <is>
          <t>Mittel</t>
        </is>
      </c>
      <c r="AD8" s="15" t="inlineStr">
        <is>
          <t>Bestandsliste</t>
        </is>
      </c>
      <c r="AE8" s="16" t="inlineStr">
        <is>
          <t>https://www.revent.vc/</t>
        </is>
      </c>
      <c r="AF8" s="16" t="inlineStr">
        <is>
          <t>https://www.revent.vc/</t>
        </is>
      </c>
    </row>
    <row r="9">
      <c r="A9" s="24" t="n">
        <v>5</v>
      </c>
      <c r="B9" s="25" t="inlineStr">
        <is>
          <t>Salvia GmbH</t>
        </is>
      </c>
      <c r="C9" s="26" t="inlineStr">
        <is>
          <t>C</t>
        </is>
      </c>
      <c r="D9" s="26" t="n">
        <v>58</v>
      </c>
      <c r="E9" s="15" t="inlineStr">
        <is>
          <t>Holzkirchen (bei München)</t>
        </is>
      </c>
      <c r="F9" s="18" t="inlineStr">
        <is>
          <t>DE</t>
        </is>
      </c>
      <c r="G9" s="15" t="inlineStr">
        <is>
          <t>Family Office</t>
        </is>
      </c>
      <c r="H9" s="16" t="inlineStr">
        <is>
          <t>Early Stage bis Growth (urspruenglich Angel-Investments, heute unternehmerischer VC)</t>
        </is>
      </c>
      <c r="I9" s="15" t="inlineStr">
        <is>
          <t>Teilweise (haeufig Co-Investor / Ankerinvestor, kein klassischer Lead-Fonds)</t>
        </is>
      </c>
      <c r="J9" s="16" t="inlineStr">
        <is>
          <t>n/a</t>
        </is>
      </c>
      <c r="K9" s="16" t="inlineStr">
        <is>
          <t>n/a (Single Family Office, Evergreen-Kapital von Helmut Jeggle)</t>
        </is>
      </c>
      <c r="L9" s="15" t="inlineStr">
        <is>
          <t>Teilweise</t>
        </is>
      </c>
      <c r="M9" s="16" t="inlineStr">
        <is>
          <t>Deep Tech und Science: Energieeffizienz, Batterie-/Materialtechnologie, Quantum Computing, Biotech, Drohnen; Leitmotiv Klimawandel und Ressourcenknappheit</t>
        </is>
      </c>
      <c r="N9" s="16" t="inlineStr">
        <is>
          <t>ONE DATA (Applied AI / Data-Software, Passau), IQM (Quantum Computing), Wingcopter, GROUP14 Technologies, Bambusa Therapeutics; Exits: BioNTech, Aldevron, Boxine</t>
        </is>
      </c>
      <c r="O9" s="16" t="inlineStr">
        <is>
          <t>Indirekt: ONE DATA zeigt Verstaendnis fuer industrielle Datenplattformen, aber keine belegten Investments in Annotation/Labeling oder MLOps-Tooling</t>
        </is>
      </c>
      <c r="P9" s="16" t="inlineStr">
        <is>
          <t>-</t>
        </is>
      </c>
      <c r="Q9" s="16" t="inlineStr">
        <is>
          <t>Helmut Jeggle</t>
        </is>
      </c>
      <c r="R9" s="16" t="inlineStr">
        <is>
          <t>Gruender &amp; Managing Partner</t>
        </is>
      </c>
      <c r="S9" s="16" t="inlineStr">
        <is>
          <t>n/a</t>
        </is>
      </c>
      <c r="T9" s="16" t="inlineStr">
        <is>
          <t>Bergfeldstrasse 9, 83607 Holzkirchen; Kontaktformular ueber https://salvia.de/en/ (keine oeffentliche Investment-E-Mail)</t>
        </is>
      </c>
      <c r="U9" s="16" t="inlineStr">
        <is>
          <t>Deep-Tech-Family-Office aus dem Muenchner Raum mit ONE DATA als einzigem klaren Data-/AI-Software-Investment; der Schwerpunkt liegt jedoch auf Hardware-, Energie- und Life-Science-Deep-Tech, nicht auf Data-Infrastruktur oder Dev-Tools.</t>
        </is>
      </c>
      <c r="V9" s="16" t="inlineStr">
        <is>
          <t>Keine oeffentliche Ticketgroesse oder Fondsgroesse; kein expliziter Software-/AI-Infra-Fokus; als Family Office kein definierter Investmentprozess fuer Cold Inbound; Zugang laeuft ueber Netzwerk</t>
        </is>
      </c>
      <c r="W9" s="16" t="inlineStr">
        <is>
          <t>Ueber die ONE-DATA-Bruecke ansprechen: PathWize liefert die kuratierten Trainingsdaten, ohne die industrielle KI-Plattformen wie ONE DATA in der Produktion nicht zuverlaessig werden.</t>
        </is>
      </c>
      <c r="X9" s="18" t="n">
        <v>18</v>
      </c>
      <c r="Y9" s="18" t="n">
        <v>14</v>
      </c>
      <c r="Z9" s="18" t="n">
        <v>10</v>
      </c>
      <c r="AA9" s="18" t="n">
        <v>6</v>
      </c>
      <c r="AB9" s="18" t="n">
        <v>10</v>
      </c>
      <c r="AC9" s="15" t="inlineStr">
        <is>
          <t>Mittel</t>
        </is>
      </c>
      <c r="AD9" s="15" t="inlineStr">
        <is>
          <t>Bestandsliste</t>
        </is>
      </c>
      <c r="AE9" s="16" t="inlineStr">
        <is>
          <t>https://salvia.de/</t>
        </is>
      </c>
      <c r="AF9" s="16" t="inlineStr">
        <is>
          <t>https://salvia.de/en/, https://www.crunchbase.com/organization/salvia-gmbh, https://pitchbook.com/profiles/investor/482076-55, https://www.swfinstitute.org/profile/6207ee3bd3578f2dfcbac3eb</t>
        </is>
      </c>
    </row>
    <row r="10">
      <c r="A10" s="24" t="n">
        <v>6</v>
      </c>
      <c r="B10" s="25" t="inlineStr">
        <is>
          <t>YZR Capital GmbH</t>
        </is>
      </c>
      <c r="C10" s="26" t="inlineStr">
        <is>
          <t>C</t>
        </is>
      </c>
      <c r="D10" s="26" t="n">
        <v>58</v>
      </c>
      <c r="E10" s="15" t="inlineStr">
        <is>
          <t>München</t>
        </is>
      </c>
      <c r="F10" s="15" t="inlineStr">
        <is>
          <t>Deutschland</t>
        </is>
      </c>
      <c r="G10" s="15" t="inlineStr">
        <is>
          <t>VC (Founder-led Sektorspezialist Healthcare)</t>
        </is>
      </c>
      <c r="H10" s="16" t="inlineStr">
        <is>
          <t>Seed bis Series B</t>
        </is>
      </c>
      <c r="I10" s="15" t="inlineStr">
        <is>
          <t>Ja – investiert überwiegend als Lead-Investor</t>
        </is>
      </c>
      <c r="J10" s="16" t="inlineStr">
        <is>
          <t>n/a (stage-typische Volumina Seed bis Series B)</t>
        </is>
      </c>
      <c r="K10" s="16" t="inlineStr">
        <is>
          <t>über 100 Mio. EUR AUM; &gt;20 Portfolio-Companies in &gt;10 Ländern; u.a. vom Wachstumsfonds Deutschland unterstützt</t>
        </is>
      </c>
      <c r="L10" s="15" t="inlineStr">
        <is>
          <t>Teilweise</t>
        </is>
      </c>
      <c r="M10" s="16" t="inlineStr">
        <is>
          <t>Pan-europäisches Healthcare/HealthTech: Effizienz und Transparenz von Gesundheitssystemen, digitale Versorgungsmodelle, AI-basierte Medizin, 3D-Datenvisualisierung im OP, Buchungsplattformen</t>
        </is>
      </c>
      <c r="N10" s="16" t="inlineStr">
        <is>
          <t>AI-basierte Medizin-Startups und 3D-Datenvisualisierung im Operationssaal (Namen nicht einzeln belegt) – AI wird angewendet, aber nicht als Infrastrukturschicht investiert</t>
        </is>
      </c>
      <c r="O10" s="16" t="inlineStr">
        <is>
          <t>Mittel-gering – klinische AI-Modelle brauchen annotierte Daten, aber das Mandat ist strikt Healthcare-vertikal</t>
        </is>
      </c>
      <c r="P10" s="16" t="inlineStr">
        <is>
          <t>-</t>
        </is>
      </c>
      <c r="Q10" s="16" t="inlineStr">
        <is>
          <t>n/a</t>
        </is>
      </c>
      <c r="R10" s="16" t="inlineStr">
        <is>
          <t>n/a</t>
        </is>
      </c>
      <c r="S10" s="16" t="inlineStr">
        <is>
          <t>n/a</t>
        </is>
      </c>
      <c r="T10" s="16" t="inlineStr">
        <is>
          <t>n/a (Kontakt über yzr-capital.com)</t>
        </is>
      </c>
      <c r="U10" s="16" t="inlineStr">
        <is>
          <t>Aktiver Münchner Lead-Investor von Seed bis Series B mit &gt;100 Mio. EUR AUM und AI-Anwendungen im Portfolio – jedoch strikt auf Healthcare fokussiert, wodurch eine horizontale Data-Labeling-Plattform nicht ins Mandat passt.</t>
        </is>
      </c>
      <c r="V10" s="16" t="inlineStr">
        <is>
          <t>Ausschließliches Healthcare-Mandat; AI nur als Anwendung, nicht als Infrastruktur-These; Ticketgrößen nicht transparent</t>
        </is>
      </c>
      <c r="W10" s="16" t="inlineStr">
        <is>
          <t>Nur mit HealthTech-Vertical: PathWize als DSGVO-/MDR-konformer Annotationspartner für medizinische Bild- und Behandlungsdaten der YZR-Portfolio-Companies.</t>
        </is>
      </c>
      <c r="X10" s="18" t="n">
        <v>25</v>
      </c>
      <c r="Y10" s="18" t="n">
        <v>8</v>
      </c>
      <c r="Z10" s="18" t="n">
        <v>7</v>
      </c>
      <c r="AA10" s="18" t="n">
        <v>8</v>
      </c>
      <c r="AB10" s="18" t="n">
        <v>10</v>
      </c>
      <c r="AC10" s="15" t="inlineStr">
        <is>
          <t>Mittel</t>
        </is>
      </c>
      <c r="AD10" s="15" t="inlineStr">
        <is>
          <t>Bestandsliste</t>
        </is>
      </c>
      <c r="AE10" s="16" t="inlineStr">
        <is>
          <t>https://yzr-capital.com/</t>
        </is>
      </c>
      <c r="AF10" s="16" t="inlineStr">
        <is>
          <t>https://yzr-capital.com/, https://www.munich-startup.de/en/97519/growth-fund-germany-invests-in-yzr-capital/, https://www.vestbee.com/vc-list/yzr-capital</t>
        </is>
      </c>
    </row>
    <row r="11">
      <c r="A11" s="24" t="n">
        <v>7</v>
      </c>
      <c r="B11" s="25" t="inlineStr">
        <is>
          <t>Bertelsmann Investments</t>
        </is>
      </c>
      <c r="C11" s="26" t="inlineStr">
        <is>
          <t>C</t>
        </is>
      </c>
      <c r="D11" s="26" t="n">
        <v>57</v>
      </c>
      <c r="E11" s="15" t="inlineStr">
        <is>
          <t>Guetersloh / Berlin (weitere Standorte New York, Sao Paulo, Peking)</t>
        </is>
      </c>
      <c r="F11" s="18" t="inlineStr">
        <is>
          <t>DE</t>
        </is>
      </c>
      <c r="G11" s="15" t="inlineStr">
        <is>
          <t>Corporate VC (Dachorganisation mehrerer Fonds)</t>
        </is>
      </c>
      <c r="H11" s="16" t="inlineStr">
        <is>
          <t>Seed bis Growth, je nach Untereinheit (BDMI: Seed/Early Stage; BAI: Growth)</t>
        </is>
      </c>
      <c r="I11" s="15" t="inlineStr">
        <is>
          <t>Teilweise - je nach Fonds und Runde, oft Co-Investor</t>
        </is>
      </c>
      <c r="J11" s="16" t="inlineStr">
        <is>
          <t>n/a</t>
        </is>
      </c>
      <c r="K11" s="16" t="inlineStr">
        <is>
          <t>BDMI ueber 450 Mio. USD; neuer BAI-Fonds mit 800 Mio. USD (2026); 2022-2025 insgesamt 432 Mio. EUR in 115 Einzelinvestments</t>
        </is>
      </c>
      <c r="L11" s="15" t="inlineStr">
        <is>
          <t>Teilweise</t>
        </is>
      </c>
      <c r="M11" s="16" t="inlineStr">
        <is>
          <t>Next-Gen Media, Enterprise Software/SaaS, Fintech, Web3, Health/Wellness, Fashion, Sport; Regionen Nordamerika, Europa, Israel, Brasilien und China</t>
        </is>
      </c>
      <c r="N11" s="16" t="inlineStr">
        <is>
          <t>Enterprise-Software und SaaS sind erklaerte Investitionsfelder, konkrete Data-Infrastruktur- oder Labeling-Investments sind jedoch nicht belegbar; Schwerpunkt liegt auf Medien- und Content-Technologie</t>
        </is>
      </c>
      <c r="O11" s="16" t="inlineStr">
        <is>
          <t>Mittel-gering: Enterprise-Software-Mandat vorhanden, aber kein ML-Infrastruktur-Track-Record</t>
        </is>
      </c>
      <c r="P11" s="16" t="inlineStr">
        <is>
          <t>Data-Infra-nah</t>
        </is>
      </c>
      <c r="Q11" s="16" t="inlineStr">
        <is>
          <t>Urs Cete / Sim Blaustein (BDMI, seit 2026 ueber die neu gegruendete 1745 Ventures gemanagt)</t>
        </is>
      </c>
      <c r="R11" s="16" t="inlineStr">
        <is>
          <t>Managing Partner, 1745 Ventures (vormals BDMI)</t>
        </is>
      </c>
      <c r="S11" s="16" t="inlineStr">
        <is>
          <t>n/a</t>
        </is>
      </c>
      <c r="T11" s="16" t="inlineStr">
        <is>
          <t>https://bdmifund.com/ bzw. https://www.bertelsmann-investments.com/ ; Pitch-E-Mail n/a</t>
        </is>
      </c>
      <c r="U11" s="16" t="inlineStr">
        <is>
          <t>Kapitalstarker Corporate-VC mit Enterprise-Software-Mandat, aber medienlastiger These und ueberwiegend Later-Stage-Schwerpunkt in der grossen BAI-Einheit. Fuer eine deutsche Pre-Seed-/Seed-Runde nur eingeschraenkt der richtige Adressat.</t>
        </is>
      </c>
      <c r="V11" s="16" t="inlineStr">
        <is>
          <t>BDMI wurde 2026 ausgegliedert und wird nun von 1745 Ventures gemanagt - Zustaendigkeiten und Mandat im Umbruch; Corporate-Strukturen mit strategischen Nebenbedingungen; Fruehphasen-Tickets nicht klar definiert</t>
        </is>
      </c>
      <c r="W11" s="16" t="inlineStr">
        <is>
          <t>Ueber die 1745-Ventures-/BDMI-Schiene mit einer Enterprise-AI-Story ansprechen: Trainingsdaten fuer Medien-, Content- und Publishing-KI als konkreter Bertelsmann-naher Anwendungsfall.</t>
        </is>
      </c>
      <c r="X11" s="18" t="n">
        <v>18</v>
      </c>
      <c r="Y11" s="18" t="n">
        <v>15</v>
      </c>
      <c r="Z11" s="18" t="n">
        <v>8</v>
      </c>
      <c r="AA11" s="18" t="n">
        <v>8</v>
      </c>
      <c r="AB11" s="18" t="n">
        <v>8</v>
      </c>
      <c r="AC11" s="15" t="inlineStr">
        <is>
          <t>Mittel</t>
        </is>
      </c>
      <c r="AD11" s="15" t="inlineStr">
        <is>
          <t>Bestandsliste</t>
        </is>
      </c>
      <c r="AE11" s="16" t="inlineStr">
        <is>
          <t>https://www.bertelsmann-investments.com/</t>
        </is>
      </c>
      <c r="AF11" s="16" t="inlineStr">
        <is>
          <t>https://www.bertelsmann-investments.com/, https://bdmifund.com/about, https://www.bertelsmann.com/en/media/news/bertelsmann-investments-opens-bdmi-fund-to-broader-investor-base.html, https://www.bertelsmann.com/en/media/news/global-investment-and-growth-platform-delivers-strong-operating-performance.html</t>
        </is>
      </c>
    </row>
    <row r="12">
      <c r="A12" s="24" t="n">
        <v>8</v>
      </c>
      <c r="B12" s="25" t="inlineStr">
        <is>
          <t>Vorwerk Ventures</t>
        </is>
      </c>
      <c r="C12" s="26" t="inlineStr">
        <is>
          <t>C</t>
        </is>
      </c>
      <c r="D12" s="26" t="n">
        <v>57</v>
      </c>
      <c r="E12" s="15" t="inlineStr">
        <is>
          <t>Berlin</t>
        </is>
      </c>
      <c r="F12" s="15" t="inlineStr">
        <is>
          <t>Deutschland</t>
        </is>
      </c>
      <c r="G12" s="15" t="inlineStr">
        <is>
          <t>VC (ursprünglich Corporate VC der Vorwerk-Gruppe, heute unabhängig)</t>
        </is>
      </c>
      <c r="H12" s="16" t="inlineStr">
        <is>
          <t>(Pre-)Seed und Series A</t>
        </is>
      </c>
      <c r="I12" s="15" t="inlineStr">
        <is>
          <t>Ja – führt Seed- und Series-A-Runden regelmäßig an</t>
        </is>
      </c>
      <c r="J12" s="16" t="inlineStr">
        <is>
          <t>1 – 5 Mio. EUR Initial-Ticket, bis zu 15 Mio. EUR Follow-on-Reserve</t>
        </is>
      </c>
      <c r="K12" s="16" t="inlineStr">
        <is>
          <t>Fund IV: 150 Mio. EUR; ca. 400 Mio. EUR AUM; 97 Investments</t>
        </is>
      </c>
      <c r="L12" s="18" t="inlineStr">
        <is>
          <t>Nein</t>
        </is>
      </c>
      <c r="M12" s="16" t="inlineStr">
        <is>
          <t>Technologiegetriebene Unternehmen mit Consumer-Bezug: Consumer Products, Food &amp; AgTech, Healthcare, Climate/Energy; Fokus auf starke Geschäftsmodelle und gesellschaftlichen Nutzen</t>
        </is>
      </c>
      <c r="N12" s="16" t="inlineStr">
        <is>
          <t>Sqior Medical (Klinik-Workflow-Software, Seed 2025, 4 Mio. EUR), DEScycle, Spot my Energy; Exits HelloFresh, Flaschenpost – kein belegtes AI-/Data-Infrastruktur-Investment</t>
        </is>
      </c>
      <c r="O12" s="16" t="inlineStr">
        <is>
          <t>Gering – klare Consumer-/Health-/Climate-Ausrichtung ohne Dev-Tools- oder Data-Infra-Strategie</t>
        </is>
      </c>
      <c r="P12" s="16" t="inlineStr">
        <is>
          <t>Data-Infra-nah</t>
        </is>
      </c>
      <c r="Q12" s="16" t="inlineStr">
        <is>
          <t>n/a</t>
        </is>
      </c>
      <c r="R12" s="16" t="inlineStr">
        <is>
          <t>n/a</t>
        </is>
      </c>
      <c r="S12" s="16" t="inlineStr">
        <is>
          <t>n/a</t>
        </is>
      </c>
      <c r="T12" s="16" t="inlineStr">
        <is>
          <t>n/a (Kontakt über vorwerkventures.com)</t>
        </is>
      </c>
      <c r="U12" s="16" t="inlineStr">
        <is>
          <t>Exzellenter Stage- und Ticket-Fit (Seed/Series A, 1–5 Mio. EUR, Lead, 150-Mio.-EUR-Fonds IV) sowie Berlin-Basis, aber die These ist consumer-, food- und healthgetrieben – B2B-Dateninfrastruktur liegt außerhalb des Fokus.</t>
        </is>
      </c>
      <c r="V12" s="16" t="inlineStr">
        <is>
          <t>Keine B2B-Software-/Infrastruktur-These; kein AI-Track-Record; Consumer-DNA aus der Vorwerk-Historie</t>
        </is>
      </c>
      <c r="W12" s="16" t="inlineStr">
        <is>
          <t>Nur über einen Consumer- oder Health-Anwendungsfall anschlussfähig (z.B. Annotation von Produkt-, Rezept- oder klinischen Daten) – ansonsten schwacher thematischer Anker.</t>
        </is>
      </c>
      <c r="X12" s="18" t="n">
        <v>28</v>
      </c>
      <c r="Y12" s="18" t="n">
        <v>6</v>
      </c>
      <c r="Z12" s="18" t="n">
        <v>4</v>
      </c>
      <c r="AA12" s="18" t="n">
        <v>9</v>
      </c>
      <c r="AB12" s="18" t="n">
        <v>10</v>
      </c>
      <c r="AC12" s="15" t="inlineStr">
        <is>
          <t>Mittel</t>
        </is>
      </c>
      <c r="AD12" s="15" t="inlineStr">
        <is>
          <t>Bestandsliste</t>
        </is>
      </c>
      <c r="AE12" s="16" t="inlineStr">
        <is>
          <t>https://www.vorwerk-ventures.com/</t>
        </is>
      </c>
      <c r="AF12" s="16" t="inlineStr">
        <is>
          <t>https://vorwerkventures.com/, https://tracxn.com/d/venture-capital/vorwerk-ventures/__c9u_iuU1_exxW-7TmwM0_klnVagsfluxFhZlnoVejWg, https://www.startbase.com/organization/vorwerk-ventures/</t>
        </is>
      </c>
    </row>
    <row r="13">
      <c r="A13" s="24" t="n">
        <v>9</v>
      </c>
      <c r="B13" s="25" t="inlineStr">
        <is>
          <t>Wayra Deutschland</t>
        </is>
      </c>
      <c r="C13" s="26" t="inlineStr">
        <is>
          <t>C</t>
        </is>
      </c>
      <c r="D13" s="26" t="n">
        <v>57</v>
      </c>
      <c r="E13" s="15" t="inlineStr">
        <is>
          <t>München</t>
        </is>
      </c>
      <c r="F13" s="15" t="inlineStr">
        <is>
          <t>Deutschland</t>
        </is>
      </c>
      <c r="G13" s="15" t="inlineStr">
        <is>
          <t>Corporate VC / Venture-Client-Einheit (o2 Telefónica)</t>
        </is>
      </c>
      <c r="H13" s="16" t="inlineStr">
        <is>
          <t>Seed bis Growth; Bewertungen bis ca. 250 Mio. EUR pre-money</t>
        </is>
      </c>
      <c r="I13" s="15" t="inlineStr">
        <is>
          <t>Nein – investiert überwiegend als Co-Investor bzw. über Venture-Client-Deals, nicht als Lead klassischer Finanzierungsrunden</t>
        </is>
      </c>
      <c r="J13" s="16" t="inlineStr">
        <is>
          <t>150.000 – 5 Mio. EUR</t>
        </is>
      </c>
      <c r="K13" s="16" t="inlineStr">
        <is>
          <t>Global ca. 260 Mio. EUR investiert, &gt;530 Portfolio-Startups (Wayra-Netzwerk weltweit)</t>
        </is>
      </c>
      <c r="L13" s="15" t="inlineStr">
        <is>
          <t>Teilweise</t>
        </is>
      </c>
      <c r="M13" s="16" t="inlineStr">
        <is>
          <t>Strategische Synergie mit Telefónica/o2 (ca. 75% synergiegetrieben, 25% opportunistische Tech-Wetten): 5G/Konnektivität, Cloud, AI, Cybersecurity, IoT, B2B-Anwendungen für Telco, Healthcare und Manufacturing</t>
        </is>
      </c>
      <c r="N13" s="16" t="inlineStr">
        <is>
          <t>n/a im Detail belegbar; Wayra betreibt einen 5G-/AI-Innovation-Hub und adressiert AI/Cloud explizit als Investitionsfeld</t>
        </is>
      </c>
      <c r="O13" s="16" t="inlineStr">
        <is>
          <t>Mittel-gering – AI ist als Feld gesetzt, aber der Zugang läuft über Telefónica-Synergien und nicht über eine Data-Infrastruktur-These</t>
        </is>
      </c>
      <c r="P13" s="16" t="inlineStr">
        <is>
          <t>-</t>
        </is>
      </c>
      <c r="Q13" s="16" t="inlineStr">
        <is>
          <t>n/a</t>
        </is>
      </c>
      <c r="R13" s="16" t="inlineStr">
        <is>
          <t>n/a</t>
        </is>
      </c>
      <c r="S13" s="16" t="inlineStr">
        <is>
          <t>n/a</t>
        </is>
      </c>
      <c r="T13" s="16" t="inlineStr">
        <is>
          <t>Bewerbung über https://www.wayra.de/for-startups</t>
        </is>
      </c>
      <c r="U13" s="16" t="inlineStr">
        <is>
          <t>Deutscher Corporate-Investor mit explizitem AI-/Cloud-Interesse und passender Ticket-Spanne (150 TEUR–5 Mio. EUR), aber das Venture-Client-Modell verlangt zwingend einen konkreten Telefónica-Use-Case und liefert kein klassisches Runden-Leadership.</t>
        </is>
      </c>
      <c r="V13" s="16" t="inlineStr">
        <is>
          <t>75% der Investments synergiegetrieben – ohne o2-Business-Case kaum Chance; kein Lead-Investor; Venture-Client-Logik statt Equity-First</t>
        </is>
      </c>
      <c r="W13" s="16" t="inlineStr">
        <is>
          <t>Mit einem konkreten o2-Telefónica-Use-Case einsteigen: annotierte Trainingsdaten für Netzoptimierung, Kundenservice-Automatisierung und Fraud-Detection – Venture-Client-Pilot vor Investment.</t>
        </is>
      </c>
      <c r="X13" s="18" t="n">
        <v>18</v>
      </c>
      <c r="Y13" s="18" t="n">
        <v>14</v>
      </c>
      <c r="Z13" s="18" t="n">
        <v>8</v>
      </c>
      <c r="AA13" s="18" t="n">
        <v>7</v>
      </c>
      <c r="AB13" s="18" t="n">
        <v>10</v>
      </c>
      <c r="AC13" s="15" t="inlineStr">
        <is>
          <t>Mittel</t>
        </is>
      </c>
      <c r="AD13" s="15" t="inlineStr">
        <is>
          <t>Bestandsliste</t>
        </is>
      </c>
      <c r="AE13" s="16" t="inlineStr">
        <is>
          <t>https://www.wayra.de/</t>
        </is>
      </c>
      <c r="AF13" s="16" t="inlineStr">
        <is>
          <t>https://www.wayra.de/, https://www.wayra.de/for-startups, https://wayra.com/investment</t>
        </is>
      </c>
    </row>
    <row r="14">
      <c r="A14" s="24" t="n">
        <v>10</v>
      </c>
      <c r="B14" s="25" t="inlineStr">
        <is>
          <t>Aenu</t>
        </is>
      </c>
      <c r="C14" s="26" t="inlineStr">
        <is>
          <t>C</t>
        </is>
      </c>
      <c r="D14" s="26" t="n">
        <v>56</v>
      </c>
      <c r="E14" s="15" t="inlineStr">
        <is>
          <t>Berlin</t>
        </is>
      </c>
      <c r="F14" s="15" t="inlineStr">
        <is>
          <t>Deutschland</t>
        </is>
      </c>
      <c r="G14" s="15" t="inlineStr">
        <is>
          <t>VC (Impact-Fonds, B-Corp-zertifiziert)</t>
        </is>
      </c>
      <c r="H14" s="16" t="inlineStr">
        <is>
          <t>Seed (Sweet Spot), selektiv Pre-Seed und fruehe Series A</t>
        </is>
      </c>
      <c r="I14" s="18" t="inlineStr">
        <is>
          <t>Ja</t>
        </is>
      </c>
      <c r="J14" s="16" t="inlineStr">
        <is>
          <t>1 bis 5 Mio. EUR initial, Follow-on bis 10 Mio. EUR</t>
        </is>
      </c>
      <c r="K14" s="16" t="inlineStr">
        <is>
          <t>n/a (Fondsgroesse nicht oeffentlich ausgewiesen)</t>
        </is>
      </c>
      <c r="L14" s="15" t="inlineStr">
        <is>
          <t>Teilweise</t>
        </is>
      </c>
      <c r="M14" s="16" t="inlineStr">
        <is>
          <t>Climate Tech: disruptive Hardware, Software und AI-native Loesungen fuer Energie, industrielle Dekarbonisierung und systemische Resilienz; Geografie Europa mit DACH, Frankreich, UK, Nordics</t>
        </is>
      </c>
      <c r="N14" s="16" t="inlineStr">
        <is>
          <t>Monta, Entrix, Trawa, Metris Energy, Greenlyte, EPYR, Aris Machina, Ember, Hometree, Plume - AI-native wird als Ansatz genannt, aber ausschliesslich im Energie-/Dekarbonisierungskontext</t>
        </is>
      </c>
      <c r="O14" s="16" t="inlineStr">
        <is>
          <t>Niedrig - kein horizontales Data-/ML-Infrastruktur-Investment, AI nur als Mittel zum Klimazweck</t>
        </is>
      </c>
      <c r="P14" s="16" t="inlineStr">
        <is>
          <t>-</t>
        </is>
      </c>
      <c r="Q14" s="16" t="inlineStr">
        <is>
          <t>n/a (Gruenderteam mit Wurzeln bei Dailydeal, Forto, Earlybird und Speedinvest)</t>
        </is>
      </c>
      <c r="R14" s="16" t="inlineStr">
        <is>
          <t>n/a</t>
        </is>
      </c>
      <c r="S14" s="16" t="inlineStr">
        <is>
          <t>n/a</t>
        </is>
      </c>
      <c r="T14" s="16" t="inlineStr">
        <is>
          <t>Kontaktseite auf https://www.aenu.com/contact/</t>
        </is>
      </c>
      <c r="U14" s="16" t="inlineStr">
        <is>
          <t>Stage (Seed, 1-5 Mio. EUR) und Geografie (Berlin, DACH) passen sehr gut, aber das Mandat ist ein reiner Climate-/Impact-Fonds mit verpflichtender Dekarbonisierungswirkung. Eine horizontale Data-Labeling-Plattform erfuellt diese Impact-These nicht.</t>
        </is>
      </c>
      <c r="V14" s="16" t="inlineStr">
        <is>
          <t>Hartes Climate-Impact-Mandat mit B-Corp-Reporting; AI nur als Enabler fuer Energiethemen; Fondsgroesse nicht transparent</t>
        </is>
      </c>
      <c r="W14" s="16" t="inlineStr">
        <is>
          <t>Nur mit einem konkreten Climate-Use-Case sinnvoll - etwa annotierte Trainingsdaten fuer Energienetz-, Satelliten- oder Industrieanlagen-Modelle, gerne mit Referenz auf Portfolio-Companies wie Metris Energy oder Entrix.</t>
        </is>
      </c>
      <c r="X14" s="18" t="n">
        <v>26</v>
      </c>
      <c r="Y14" s="18" t="n">
        <v>8</v>
      </c>
      <c r="Z14" s="18" t="n">
        <v>4</v>
      </c>
      <c r="AA14" s="18" t="n">
        <v>8</v>
      </c>
      <c r="AB14" s="18" t="n">
        <v>10</v>
      </c>
      <c r="AC14" s="15" t="inlineStr">
        <is>
          <t>Mittel</t>
        </is>
      </c>
      <c r="AD14" s="15" t="inlineStr">
        <is>
          <t>Bestandsliste</t>
        </is>
      </c>
      <c r="AE14" s="16" t="inlineStr">
        <is>
          <t>https://www.aenu.com/</t>
        </is>
      </c>
      <c r="AF14" s="16" t="inlineStr">
        <is>
          <t>https://www.aenu.com/, https://www.aenu.com/contact/</t>
        </is>
      </c>
    </row>
    <row r="15">
      <c r="A15" s="24" t="n">
        <v>11</v>
      </c>
      <c r="B15" s="25" t="inlineStr">
        <is>
          <t>Ananda Impact Ventures</t>
        </is>
      </c>
      <c r="C15" s="26" t="inlineStr">
        <is>
          <t>C</t>
        </is>
      </c>
      <c r="D15" s="26" t="n">
        <v>56</v>
      </c>
      <c r="E15" s="15" t="inlineStr">
        <is>
          <t>Muenchen</t>
        </is>
      </c>
      <c r="F15" s="15" t="inlineStr">
        <is>
          <t>Deutschland</t>
        </is>
      </c>
      <c r="G15" s="15" t="inlineStr">
        <is>
          <t>VC (Impact, Early Stage; gegruendet 2009)</t>
        </is>
      </c>
      <c r="H15" s="16" t="inlineStr">
        <is>
          <t>Early Stage (Seed / Series A)</t>
        </is>
      </c>
      <c r="I15" s="15" t="inlineStr">
        <is>
          <t>n/a (nicht explizit ausgewiesen)</t>
        </is>
      </c>
      <c r="J15" s="16" t="inlineStr">
        <is>
          <t>n/a (nicht auf der Website ausgewiesen)</t>
        </is>
      </c>
      <c r="K15" s="16" t="inlineStr">
        <is>
          <t>n/a (nicht auf der Website ausgewiesen)</t>
        </is>
      </c>
      <c r="L15" s="15" t="inlineStr">
        <is>
          <t>Teilweise</t>
        </is>
      </c>
      <c r="M15" s="16" t="inlineStr">
        <is>
          <t>Impact-These 'systems disruptors' entlang planetarer Herausforderungen: Decarbonising Industry, Energy Transition, NatureTech, FemTech, Healthcare &amp; Wellbeing, Biosecurity, Blue Economy.</t>
        </is>
      </c>
      <c r="N15" s="16" t="inlineStr">
        <is>
          <t>Jua (AI-Foundation-Model fuer Wetter/Physik - echtes AI-Infrastruktur-Investment), Ocean Ledger, NatureMetrics (Umwelt-DNA-Daten), OroraTech (Satelliten-Waldbrandanalytik), Airmo, ieso Digital Health</t>
        </is>
      </c>
      <c r="O15" s="16" t="inlineStr">
        <is>
          <t>Mittel-gering: mit Jua und OroraTech gibt es reale ML-/Sensordaten-Kompetenz, aber Labeling-Infrastruktur ohne Impact-Wirkung passt nicht ins Mandat.</t>
        </is>
      </c>
      <c r="P15" s="16" t="inlineStr">
        <is>
          <t>-</t>
        </is>
      </c>
      <c r="Q15" s="16" t="inlineStr">
        <is>
          <t>Johannes Weber</t>
        </is>
      </c>
      <c r="R15" s="16" t="inlineStr">
        <is>
          <t>Founder (zweiter Founder: Florian Erber)</t>
        </is>
      </c>
      <c r="S15" s="16" t="inlineStr">
        <is>
          <t>n/a</t>
        </is>
      </c>
      <c r="T15" s="16" t="inlineStr">
        <is>
          <t>info@ananda.vc</t>
        </is>
      </c>
      <c r="U15" s="16" t="inlineStr">
        <is>
          <t>Etablierter Muenchner Frueh-Phasen-Impact-Fonds mit AI-Kompetenz im Portfolio (Jua), aber ein striktes Impact-Mandat entlang Klima/Nature/Health - reine B2B-Data-Infrastruktur erfuellt die Wirkungslogik nicht.</t>
        </is>
      </c>
      <c r="V15" s="16" t="inlineStr">
        <is>
          <t>Ticketgroesse und Fondsvolumen nicht oeffentlich; Impact-/Artikel-9-Reporting-Anforderungen; kein Software-/Data-Infra-Vertikal in der These.</t>
        </is>
      </c>
      <c r="W15" s="16" t="inlineStr">
        <is>
          <t>Nur mit einer belegbaren Impact-Story ansprechen (z.B. faire Arbeitsbedingungen/Upskilling in der Labeling-Workforce oder Trainingsdaten fuer Klima-/NatureTech-Modelle wie bei Jua).</t>
        </is>
      </c>
      <c r="X15" s="18" t="n">
        <v>24</v>
      </c>
      <c r="Y15" s="18" t="n">
        <v>8</v>
      </c>
      <c r="Z15" s="18" t="n">
        <v>8</v>
      </c>
      <c r="AA15" s="18" t="n">
        <v>6</v>
      </c>
      <c r="AB15" s="18" t="n">
        <v>10</v>
      </c>
      <c r="AC15" s="15" t="inlineStr">
        <is>
          <t>Mittel</t>
        </is>
      </c>
      <c r="AD15" s="15" t="inlineStr">
        <is>
          <t>Bestandsliste</t>
        </is>
      </c>
      <c r="AE15" s="16" t="inlineStr">
        <is>
          <t>https://www.ananda.vc</t>
        </is>
      </c>
      <c r="AF15" s="16" t="inlineStr">
        <is>
          <t>https://www.ananda.vc/</t>
        </is>
      </c>
    </row>
    <row r="16">
      <c r="A16" s="24" t="n">
        <v>12</v>
      </c>
      <c r="B16" s="25" t="inlineStr">
        <is>
          <t>Climentum Capital</t>
        </is>
      </c>
      <c r="C16" s="26" t="inlineStr">
        <is>
          <t>C</t>
        </is>
      </c>
      <c r="D16" s="26" t="n">
        <v>56</v>
      </c>
      <c r="E16" s="15" t="inlineStr">
        <is>
          <t>Kopenhagen (Bueros u.a. Berlin und Stockholm)</t>
        </is>
      </c>
      <c r="F16" s="18" t="inlineStr">
        <is>
          <t>DK</t>
        </is>
      </c>
      <c r="G16" s="18" t="inlineStr">
        <is>
          <t>VC</t>
        </is>
      </c>
      <c r="H16" s="16" t="inlineStr">
        <is>
          <t>Seed, Series A</t>
        </is>
      </c>
      <c r="I16" s="15" t="inlineStr">
        <is>
          <t>Ja, fuehrt Seed- und Series-A-Runden an</t>
        </is>
      </c>
      <c r="J16" s="16" t="inlineStr">
        <is>
          <t>1 - 5 Mio. EUR Erstinvestment, ca. 10 Prozent Zielanteil, 50 Prozent Reserven fuer Follow-ons</t>
        </is>
      </c>
      <c r="K16" s="16" t="inlineStr">
        <is>
          <t>Fonds II mit 60 Mio. EUR First Close (Juli 2026), Zielgroesse bis 100 Mio. EUR; Fonds I ebenfalls 60 Mio. EUR</t>
        </is>
      </c>
      <c r="L16" s="18" t="inlineStr">
        <is>
          <t>Nein</t>
        </is>
      </c>
      <c r="M16" s="16" t="inlineStr">
        <is>
          <t>Europaeisches Klima-Hardtech und industrielle Resilienz: Energie, Industrie, Transport, Landwirtschaft, Lieferketten; B2B mit messbarer CO2-Wirkung</t>
        </is>
      </c>
      <c r="N16" s="16" t="inlineStr">
        <is>
          <t>Ueberwiegend Hardware- und Deep-Tech-Beteiligungen im Klimabereich; keine belegten AI-/Data-Infrastruktur-Investments</t>
        </is>
      </c>
      <c r="O16" s="16" t="inlineStr">
        <is>
          <t>Keine belegte Relevanz</t>
        </is>
      </c>
      <c r="P16" s="16" t="inlineStr">
        <is>
          <t>Data-Infra-nah</t>
        </is>
      </c>
      <c r="Q16" s="16" t="inlineStr">
        <is>
          <t>n/a</t>
        </is>
      </c>
      <c r="R16" s="16" t="inlineStr">
        <is>
          <t>n/a</t>
        </is>
      </c>
      <c r="S16" s="16" t="inlineStr">
        <is>
          <t>n/a</t>
        </is>
      </c>
      <c r="T16" s="16" t="inlineStr">
        <is>
          <t>Kontaktformular auf climentum.com</t>
        </is>
      </c>
      <c r="U16" s="16" t="inlineStr">
        <is>
          <t>Frisch geschlossener Fonds II mit passender Stage, Ticketgroesse und explizitem DACH-Fokus, aber ein hartes Klima-Hardtech-Mandat ohne Andockpunkt fuer Data Labeling.</t>
        </is>
      </c>
      <c r="V16" s="16" t="inlineStr">
        <is>
          <t>Zwingender Nachweis von Klimawirkung; klarer Hardware-Bias, Software-/Servicemodelle passen nicht ins Mandat</t>
        </is>
      </c>
      <c r="W16" s="16" t="inlineStr">
        <is>
          <t>Nur mit einer belastbaren Industrie- oder Energie-Vertikale ansprechen, etwa Annotation von Inspektions- und Sensordaten fuer Netz- und Anlagenbetreiber.</t>
        </is>
      </c>
      <c r="X16" s="18" t="n">
        <v>28</v>
      </c>
      <c r="Y16" s="18" t="n">
        <v>6</v>
      </c>
      <c r="Z16" s="18" t="n">
        <v>3</v>
      </c>
      <c r="AA16" s="18" t="n">
        <v>9</v>
      </c>
      <c r="AB16" s="18" t="n">
        <v>10</v>
      </c>
      <c r="AC16" s="18" t="inlineStr">
        <is>
          <t>Hoch</t>
        </is>
      </c>
      <c r="AD16" s="15" t="inlineStr">
        <is>
          <t>Bestandsliste</t>
        </is>
      </c>
      <c r="AE16" s="16" t="inlineStr">
        <is>
          <t>https://climentum.com/</t>
        </is>
      </c>
      <c r="AF16" s="16" t="inlineStr">
        <is>
          <t>https://climentum.com/, https://www.eu-startups.com/2026/07/danish-climate-vc-climentum-capital-launches-fund-ii-with-e60-million-first-close/, https://tech.eu/2026/07/03/danish-vc-climentum-capital-secures-eur60m-first-close-for-climate-hardware-investments/</t>
        </is>
      </c>
    </row>
    <row r="17">
      <c r="A17" s="24" t="n">
        <v>13</v>
      </c>
      <c r="B17" s="25" t="inlineStr">
        <is>
          <t>TX Ventures</t>
        </is>
      </c>
      <c r="C17" s="26" t="inlineStr">
        <is>
          <t>C</t>
        </is>
      </c>
      <c r="D17" s="26" t="n">
        <v>56</v>
      </c>
      <c r="E17" s="15" t="inlineStr">
        <is>
          <t>Zuerich</t>
        </is>
      </c>
      <c r="F17" s="15" t="inlineStr">
        <is>
          <t>Schweiz</t>
        </is>
      </c>
      <c r="G17" s="15" t="inlineStr">
        <is>
          <t>VC (Corporate-backed Sektorfonds, TX Group)</t>
        </is>
      </c>
      <c r="H17" s="16" t="inlineStr">
        <is>
          <t>Seed bis Series A</t>
        </is>
      </c>
      <c r="I17" s="15" t="inlineStr">
        <is>
          <t>Ja (positioniert sich als fuehrender FinTech-Investor der Schweiz, uebernimmt Lead-Rollen)</t>
        </is>
      </c>
      <c r="J17" s="16" t="inlineStr">
        <is>
          <t>CHF 1,0-5,0 Mio. pro Investment</t>
        </is>
      </c>
      <c r="K17" s="16" t="inlineStr">
        <is>
          <t>CHF 100 Mio. Fonds, gebacked von der TX Group</t>
        </is>
      </c>
      <c r="L17" s="15" t="inlineStr">
        <is>
          <t>Teilweise</t>
        </is>
      </c>
      <c r="M17" s="16" t="inlineStr">
        <is>
          <t>FinTech-Spezialist: 'next generation financial services' - FinTech, InsurTech, PropTech, CyberTech, Digital Assets; Europa inkl. UK.</t>
        </is>
      </c>
      <c r="N17" s="16" t="inlineStr">
        <is>
          <t>Sinpex (AI-/NLP-gestuetzte KYC- und Dokumentenverarbeitung), Cashlink, Triple, Trustap; Managing Partner Bialkowski mit Big-Data-/Cloud-Hintergrund (Swisscom)</t>
        </is>
      </c>
      <c r="O17" s="16" t="inlineStr">
        <is>
          <t>Gering-mittel: Dokumenten-KI im FinTech braucht annotierte Daten, aber der Fonds investiert nur in Financial-Services-Anwendungen, nicht in horizontale Data-Infrastruktur.</t>
        </is>
      </c>
      <c r="P17" s="16" t="inlineStr">
        <is>
          <t>-</t>
        </is>
      </c>
      <c r="Q17" s="16" t="inlineStr">
        <is>
          <t>Jens Schleuniger</t>
        </is>
      </c>
      <c r="R17" s="16" t="inlineStr">
        <is>
          <t>Managing Partner, Fokus explizit B2B-FinTech und SaaS (zweiter Managing Partner: Krzysztof Bialkowski, Hintergrund IoT/Big Data/Cloud bei Swisscom)</t>
        </is>
      </c>
      <c r="S17" s="16" t="inlineStr">
        <is>
          <t>n/a</t>
        </is>
      </c>
      <c r="T17" s="16" t="inlineStr">
        <is>
          <t>Pitch-Us-Formular auf https://tx.ventures (Werdstrasse 21, 8021 Zuerich)</t>
        </is>
      </c>
      <c r="U17" s="16" t="inlineStr">
        <is>
          <t>Stage und Ticket (Seed/Series A, CHF 1-5 Mio.) passen und der Fonds ist aktiv, aber die These ist strikt FinTech/Financial-Services - horizontale Trainingsdaten-Infrastruktur faellt aus dem Mandat.</t>
        </is>
      </c>
      <c r="V17" s="16" t="inlineStr">
        <is>
          <t>Enges Sektormandat (FinTech/InsurTech/Digital Assets); Schweiz-Fokus mit Corporate-LP (TX Group); Deutschland nur sekundaer.</t>
        </is>
      </c>
      <c r="W17" s="16" t="inlineStr">
        <is>
          <t>Nur mit einem FinTech-spezifischen Wedge ansprechen - z.B. annotierte Trainingsdaten fuer KYC-/Dokumenten-KI, anschlussfaehig an Portfolio-Company Sinpex.</t>
        </is>
      </c>
      <c r="X17" s="18" t="n">
        <v>26</v>
      </c>
      <c r="Y17" s="18" t="n">
        <v>8</v>
      </c>
      <c r="Z17" s="18" t="n">
        <v>6</v>
      </c>
      <c r="AA17" s="18" t="n">
        <v>8</v>
      </c>
      <c r="AB17" s="18" t="n">
        <v>8</v>
      </c>
      <c r="AC17" s="18" t="inlineStr">
        <is>
          <t>Hoch</t>
        </is>
      </c>
      <c r="AD17" s="15" t="inlineStr">
        <is>
          <t>Bestandsliste</t>
        </is>
      </c>
      <c r="AE17" s="16" t="inlineStr">
        <is>
          <t>https://tx.ventures</t>
        </is>
      </c>
      <c r="AF17" s="16" t="inlineStr">
        <is>
          <t>https://tx.ventures/, https://tx.ventures/team</t>
        </is>
      </c>
    </row>
    <row r="18">
      <c r="A18" s="24" t="n">
        <v>14</v>
      </c>
      <c r="B18" s="25" t="inlineStr">
        <is>
          <t>Bitkraft</t>
        </is>
      </c>
      <c r="C18" s="26" t="inlineStr">
        <is>
          <t>C</t>
        </is>
      </c>
      <c r="D18" s="26" t="n">
        <v>55</v>
      </c>
      <c r="E18" s="15" t="inlineStr">
        <is>
          <t>Berlin / Denver / San Francisco (global aufgestellt)</t>
        </is>
      </c>
      <c r="F18" s="15" t="inlineStr">
        <is>
          <t>DE / US</t>
        </is>
      </c>
      <c r="G18" s="15" t="inlineStr">
        <is>
          <t>VC (Sektor-Spezialist Gaming)</t>
        </is>
      </c>
      <c r="H18" s="16" t="inlineStr">
        <is>
          <t>Pre-Seed/Seed bis Series B, Schwerpunkt Seed und Series A</t>
        </is>
      </c>
      <c r="I18" s="15" t="inlineStr">
        <is>
          <t>Ja - fuehrt Seed- und Series-A-Runden im Gaming-Bereich an</t>
        </is>
      </c>
      <c r="J18" s="16" t="inlineStr">
        <is>
          <t>n/a (Venture Fund III mit 275 Mio. USD, Einzeltickets typischerweise im einstelligen Millionenbereich)</t>
        </is>
      </c>
      <c r="K18" s="16" t="inlineStr">
        <is>
          <t>ca. 1,05 Mrd. USD AUM ueber sechs Fonds (vier Equity-, zwei Crypto-/Token-Fonds); Fund III: 275 Mio. USD, Closing April 2024; Minderheitsbeteiligung von Blue Owl</t>
        </is>
      </c>
      <c r="L18" s="15" t="inlineStr">
        <is>
          <t>Teilweise</t>
        </is>
      </c>
      <c r="M18" s="16" t="inlineStr">
        <is>
          <t>'Synthetic Reality' - Konvergenz physischer und digitaler Welten: Game Studios, Gaming-Technologie und -Infrastruktur, Development Tools, Backend Services, Web3/Digital Assets sowie AI im Kontext immersiver Erlebnisse</t>
        </is>
      </c>
      <c r="N18" s="16" t="inlineStr">
        <is>
          <t>Inworld AI (AI-gesteuerte interaktive Charaktere/Erlebnisse); weiterhin Gaming-Infrastruktur und Developer-Tools. Insgesamt 179 Investments, 10 Neuinvestments in den letzten 12 Monaten</t>
        </is>
      </c>
      <c r="O18" s="16" t="inlineStr">
        <is>
          <t>Gering-mittel: AI wird investiert, aber ausschliesslich im Gaming-/Synthetic-Reality-Kontext, nicht als horizontale Data-Infrastruktur</t>
        </is>
      </c>
      <c r="P18" s="16" t="inlineStr">
        <is>
          <t>-</t>
        </is>
      </c>
      <c r="Q18" s="16" t="inlineStr">
        <is>
          <t>Jens Hilgers</t>
        </is>
      </c>
      <c r="R18" s="16" t="inlineStr">
        <is>
          <t>Founding General Partner</t>
        </is>
      </c>
      <c r="S18" s="16" t="inlineStr">
        <is>
          <t>n/a</t>
        </is>
      </c>
      <c r="T18" s="16" t="inlineStr">
        <is>
          <t>Ueber Website https://www.bitkraft.vc/ bzw. LinkedIn https://www.linkedin.com/company/bitkraftvc</t>
        </is>
      </c>
      <c r="U18" s="16" t="inlineStr">
        <is>
          <t>Kapitalstarker und sehr aktiver Seed-/Series-A-Lead mit deutschen Wurzeln, aber strikt auf Gaming und Synthetic Reality fokussiert - eine horizontale Data-Labeling-Plattform faellt ausserhalb des Mandats. AI wird nur als Gaming-Enabler investiert.</t>
        </is>
      </c>
      <c r="V18" s="16" t="inlineStr">
        <is>
          <t>Enger Gaming-/Web3-Sektorfokus; global statt DACH-zentriert; Token-/Crypto-Anteil im Portfolio signalisiert andere Risikologik als B2B-Data-Infrastruktur</t>
        </is>
      </c>
      <c r="W18" s="16" t="inlineStr">
        <is>
          <t>Nur mit einer Gaming-Vertical-Story sinnvoll: Annotation und Trainingsdaten fuer Game-AI, NPC-Verhalten und Content-Moderation in virtuellen Welten - mit Inworld AI als Referenzpunkt.</t>
        </is>
      </c>
      <c r="X18" s="18" t="n">
        <v>24</v>
      </c>
      <c r="Y18" s="18" t="n">
        <v>8</v>
      </c>
      <c r="Z18" s="18" t="n">
        <v>7</v>
      </c>
      <c r="AA18" s="18" t="n">
        <v>9</v>
      </c>
      <c r="AB18" s="18" t="n">
        <v>7</v>
      </c>
      <c r="AC18" s="15" t="inlineStr">
        <is>
          <t>Mittel</t>
        </is>
      </c>
      <c r="AD18" s="15" t="inlineStr">
        <is>
          <t>Bestandsliste</t>
        </is>
      </c>
      <c r="AE18" s="16" t="inlineStr">
        <is>
          <t>https://www.bitkraft.vc/</t>
        </is>
      </c>
      <c r="AF18" s="16" t="inlineStr">
        <is>
          <t>https://www.bitkraft.vc/, https://tracxn.com/d/venture-capital/bitkraft-ventures/__08-JTwL9X-TPJj1Kq0o5CB-HBXGEP1M_cGrG0IB-P7s, https://www.vcsheet.com/fund/bitkraft-ventures, https://pulse2.com/bitkraft-ventures-receives-minority-fund-investment-from-blue-owl/</t>
        </is>
      </c>
    </row>
    <row r="19">
      <c r="A19" s="24" t="n">
        <v>15</v>
      </c>
      <c r="B19" s="25" t="inlineStr">
        <is>
          <t>Vireo Ventures</t>
        </is>
      </c>
      <c r="C19" s="26" t="inlineStr">
        <is>
          <t>C</t>
        </is>
      </c>
      <c r="D19" s="26" t="n">
        <v>55</v>
      </c>
      <c r="E19" s="15" t="inlineStr">
        <is>
          <t>Berlin</t>
        </is>
      </c>
      <c r="F19" s="15" t="inlineStr">
        <is>
          <t>Deutschland</t>
        </is>
      </c>
      <c r="G19" s="15" t="inlineStr">
        <is>
          <t>VC (Sektorspezialist Elektrifizierung / Energie)</t>
        </is>
      </c>
      <c r="H19" s="16" t="inlineStr">
        <is>
          <t>Pre-Seed und Seed (europäische Frühphase)</t>
        </is>
      </c>
      <c r="I19" s="15" t="inlineStr">
        <is>
          <t>Ja – führt Seed-Runden im Elektrifizierungssegment an</t>
        </is>
      </c>
      <c r="J19" s="16" t="inlineStr">
        <is>
          <t>bis zu 1 Mio. EUR</t>
        </is>
      </c>
      <c r="K19" s="16" t="inlineStr">
        <is>
          <t>Electrification Fund I: 50 Mio. EUR (Final Close September 2025); LPs u.a. EIF, NRW.BANK, EnBW New Ventures, Encevo, Verbund X</t>
        </is>
      </c>
      <c r="L19" s="15" t="inlineStr">
        <is>
          <t>Teilweise</t>
        </is>
      </c>
      <c r="M19" s="16" t="inlineStr">
        <is>
          <t>Software-enabled Startups entlang der Elektrifizierungs-Wertschöpfungskette: dezentrale Erzeugung, Smart Grids, Speicher, E-Mobilität, industrielle Anwendungen, Smart Infrastructure</t>
        </is>
      </c>
      <c r="N19" s="16" t="inlineStr">
        <is>
          <t>Encentive, Atmen, Green Fusion, About:Energy, FLEXECHARGE, Metiundo – durchgängig softwarebasierte Energie-Plattformen, kein horizontales AI-/Data-Infra-Investment</t>
        </is>
      </c>
      <c r="O19" s="16" t="inlineStr">
        <is>
          <t>Gering – Software-Fokus vorhanden, aber ausschließlich innerhalb des Energie-/Elektrifizierungs-Verticals</t>
        </is>
      </c>
      <c r="P19" s="16" t="inlineStr">
        <is>
          <t>Data-Infra-nah</t>
        </is>
      </c>
      <c r="Q19" s="16" t="inlineStr">
        <is>
          <t>n/a</t>
        </is>
      </c>
      <c r="R19" s="16" t="inlineStr">
        <is>
          <t>n/a</t>
        </is>
      </c>
      <c r="S19" s="16" t="inlineStr">
        <is>
          <t>n/a</t>
        </is>
      </c>
      <c r="T19" s="16" t="inlineStr">
        <is>
          <t>n/a (Kontakt über vireo.vc)</t>
        </is>
      </c>
      <c r="U19" s="16" t="inlineStr">
        <is>
          <t>Frischer 50-Mio.-EUR-Seed-Fonds in Berlin mit hohem Dry Powder und Software-Affinität – aber ein strikt sektorspezifisches Elektrifizierungs-Mandat, in das eine horizontale Data-Labeling-Plattform nicht fällt.</t>
        </is>
      </c>
      <c r="V19" s="16" t="inlineStr">
        <is>
          <t>Enges Sektormandat (Energie/Elektrifizierung); LP-Struktur aus Energieversorgern verstärkt den thematischen Zwang; Ticket max. 1 Mio. EUR</t>
        </is>
      </c>
      <c r="W19" s="16" t="inlineStr">
        <is>
          <t>Nur mit einem Energie-Vertical anschlussfähig – z.B. Annotation von Netz-, Sensor- und Anlagendaten für Predictive-Maintenance-Modelle bei Energieversorgern.</t>
        </is>
      </c>
      <c r="X19" s="18" t="n">
        <v>26</v>
      </c>
      <c r="Y19" s="18" t="n">
        <v>6</v>
      </c>
      <c r="Z19" s="18" t="n">
        <v>4</v>
      </c>
      <c r="AA19" s="18" t="n">
        <v>9</v>
      </c>
      <c r="AB19" s="18" t="n">
        <v>10</v>
      </c>
      <c r="AC19" s="18" t="inlineStr">
        <is>
          <t>Hoch</t>
        </is>
      </c>
      <c r="AD19" s="15" t="inlineStr">
        <is>
          <t>Bestandsliste</t>
        </is>
      </c>
      <c r="AE19" s="16" t="inlineStr">
        <is>
          <t>https://www.vireo.vc/</t>
        </is>
      </c>
      <c r="AF19" s="16" t="inlineStr">
        <is>
          <t>https://www.vireo.vc/2025/09/09/vireo-ventures-closes-e50m-electrification-fund-i-to-empower-european-early-stage-founders-orchestrating-an-all-electrified-world/, https://sifted.eu/articles/vireo-ventures-e50m-fund, https://www.eu-startups.com/2023/10/berlin-based-vireo-ventures-raises-e20-million-from-eif-to-accelerate-electrification-of-energy-systems/</t>
        </is>
      </c>
    </row>
    <row r="20">
      <c r="A20" s="24" t="n">
        <v>16</v>
      </c>
      <c r="B20" s="25" t="inlineStr">
        <is>
          <t>Spotlight Ventures</t>
        </is>
      </c>
      <c r="C20" s="26" t="inlineStr">
        <is>
          <t>C</t>
        </is>
      </c>
      <c r="D20" s="26" t="n">
        <v>54</v>
      </c>
      <c r="E20" s="15" t="inlineStr">
        <is>
          <t>Bonn (zweiter Standort Potsdam)</t>
        </is>
      </c>
      <c r="F20" s="18" t="inlineStr">
        <is>
          <t>DE</t>
        </is>
      </c>
      <c r="G20" s="15" t="inlineStr">
        <is>
          <t>VC / Venture Builder</t>
        </is>
      </c>
      <c r="H20" s="16" t="inlineStr">
        <is>
          <t>Pre-Seed und Seed</t>
        </is>
      </c>
      <c r="I20" s="15" t="inlineStr">
        <is>
          <t>Selten (Venture-Builder-Ansatz, kleine Tickets, meist Co-Investor)</t>
        </is>
      </c>
      <c r="J20" s="16" t="inlineStr">
        <is>
          <t>bis EUR 500k</t>
        </is>
      </c>
      <c r="K20" s="16" t="inlineStr">
        <is>
          <t>n/a (kein oeffentlich kommuniziertes Fondsvolumen; ca. 15 Investments seit Gruendung 2021)</t>
        </is>
      </c>
      <c r="L20" s="15" t="inlineStr">
        <is>
          <t>Teilweise</t>
        </is>
      </c>
      <c r="M20" s="16" t="inlineStr">
        <is>
          <t>Technologie- und Digitalunternehmen mit Schwerpunkt PropTech, RegTech, Marktplaetze und FoodTech sowie 'digital lifestyle'; ausgepraegter Diversity-, Equity- und Inclusion-Anspruch</t>
        </is>
      </c>
      <c r="N20" s="16" t="inlineStr">
        <is>
          <t>IQONIC.ai (KI-Anwendung), Whyzzer, Occtopus, Holiday Swap</t>
        </is>
      </c>
      <c r="O20" s="16" t="inlineStr">
        <is>
          <t>Gering: Ein einzelnes KI-nahes Investment, keine Data-Infrastruktur-, MLOps- oder Dev-Tools-Historie</t>
        </is>
      </c>
      <c r="P20" s="16" t="inlineStr">
        <is>
          <t>-</t>
        </is>
      </c>
      <c r="Q20" s="16" t="inlineStr">
        <is>
          <t>n/a (kein namentlich benanntes Investment-Team auf der Website auffindbar)</t>
        </is>
      </c>
      <c r="R20" s="16" t="inlineStr">
        <is>
          <t>n/a</t>
        </is>
      </c>
      <c r="S20" s="16" t="inlineStr">
        <is>
          <t>n/a</t>
        </is>
      </c>
      <c r="T20" s="16" t="inlineStr">
        <is>
          <t>hello@spotlightventures.de; Am Hauptbahnhof 6, 53111 Bonn</t>
        </is>
      </c>
      <c r="U20" s="16" t="inlineStr">
        <is>
          <t>Stage und Geografie passen (Pre-Seed/Seed, Deutschland), aber die These liegt auf PropTech, RegTech, Marktplaetzen und FoodTech - Data-Infrastruktur und AI-Tooling sind kein erkennbarer Schwerpunkt.</t>
        </is>
      </c>
      <c r="V20" s="16" t="inlineStr">
        <is>
          <t>Kein offengelegtes Fondsvolumen, kleines Ticket bis EUR 500k, Venture-Builder-Modell mit teils operativer Beteiligung, kein oeffentlich benanntes Investment-Team, sehr geringe Deal-Frequenz</t>
        </is>
      </c>
      <c r="W20" s="16" t="inlineStr">
        <is>
          <t>Nur als Beimischung im Syndikat ansprechen und den DEI-Anspruch aufgreifen: PathWize baut skalierbare, fair verguetete Human-in-the-loop-Labeling-Kapazitaet als Kern des Geschaeftsmodells.</t>
        </is>
      </c>
      <c r="X20" s="18" t="n">
        <v>25</v>
      </c>
      <c r="Y20" s="18" t="n">
        <v>10</v>
      </c>
      <c r="Z20" s="18" t="n">
        <v>5</v>
      </c>
      <c r="AA20" s="18" t="n">
        <v>5</v>
      </c>
      <c r="AB20" s="18" t="n">
        <v>9</v>
      </c>
      <c r="AC20" s="15" t="inlineStr">
        <is>
          <t>Mittel</t>
        </is>
      </c>
      <c r="AD20" s="15" t="inlineStr">
        <is>
          <t>Bestandsliste</t>
        </is>
      </c>
      <c r="AE20" s="16" t="inlineStr">
        <is>
          <t>https://spotlightventures.de/</t>
        </is>
      </c>
      <c r="AF20" s="16" t="inlineStr">
        <is>
          <t>https://spotlightventures.de/, https://www.eu-startups.com/investor/spotlight-ventures/, https://www.startbase.com/organization/spotlight-ventures/, https://tracxn.com/d/venture-capital/spotlight-ventures/__9Zk_qLRip6JAlxb7ijvCczOvAMwlMyczdVDbgRaAciU</t>
        </is>
      </c>
    </row>
    <row r="21">
      <c r="A21" s="24" t="n">
        <v>17</v>
      </c>
      <c r="B21" s="25" t="inlineStr">
        <is>
          <t>Entrepreneur First (EF)</t>
        </is>
      </c>
      <c r="C21" s="26" t="inlineStr">
        <is>
          <t>C</t>
        </is>
      </c>
      <c r="D21" s="26" t="n">
        <v>53</v>
      </c>
      <c r="E21" s="15" t="inlineStr">
        <is>
          <t>London (weitere Standorte: Bangalore, San Francisco)</t>
        </is>
      </c>
      <c r="F21" s="15" t="inlineStr">
        <is>
          <t>Vereinigtes Königreich</t>
        </is>
      </c>
      <c r="G21" s="15" t="inlineStr">
        <is>
          <t>Talent-Investor / Company Builder mit Fonds</t>
        </is>
      </c>
      <c r="H21" s="16" t="inlineStr">
        <is>
          <t>Pre-Company bis Pre-Seed (Gründung aus dem Programm heraus), Follow-on bis Series B</t>
        </is>
      </c>
      <c r="I21" s="15" t="inlineStr">
        <is>
          <t>Ja (im eigenen Pre-Seed), sonst Co-Investor</t>
        </is>
      </c>
      <c r="J21" s="16" t="inlineStr">
        <is>
          <t>bis 250 TUSD bei Firmengründung; bis 5 Mio. USD Folgefinanzierung über spätere Runden</t>
        </is>
      </c>
      <c r="K21" s="16" t="inlineStr">
        <is>
          <t>n/a (nicht auf der Website ausgewiesen); Portfoliowert laut eigenen Angaben über 16 Mrd. USD</t>
        </is>
      </c>
      <c r="L21" s="18" t="inlineStr">
        <is>
          <t>Ja</t>
        </is>
      </c>
      <c r="M21" s="16" t="inlineStr">
        <is>
          <t>'Wir machen außergewöhnliche Individuen zu finanzierten Gründern' - Talent-First-Ansatz mit Deep-Tech- und AI-Schwerpunkt. Cofounder-Matching, 9 Monate Büro, über 600 TUSD Technologie-Credits (u. a. Azure, OpenAI, Anthropic, GitHub).</t>
        </is>
      </c>
      <c r="N21" s="16" t="inlineStr">
        <is>
          <t>Cleo (AI-Finanzassistent), Omnea und Opply (AI-gestütztes Supply-Chain-Management), Neptune Robotics, Aztec, Magdrive - Website-belegt.</t>
        </is>
      </c>
      <c r="O21" s="16" t="inlineStr">
        <is>
          <t>Gering für ein bereits bestehendes Unternehmen. EF finanziert primär Teams vor der Gründung; ein bereits operierendes Data-Labeling-Startup passt strukturell nicht in das Kernprogramm.</t>
        </is>
      </c>
      <c r="P21" s="16" t="inlineStr">
        <is>
          <t>-</t>
        </is>
      </c>
      <c r="Q21" s="16" t="inlineStr">
        <is>
          <t>n/a (Website nennt auf der Startseite keine Investmentverantwortlichen)</t>
        </is>
      </c>
      <c r="R21" s="16" t="inlineStr">
        <is>
          <t>n/a</t>
        </is>
      </c>
      <c r="S21" s="16" t="inlineStr">
        <is>
          <t>n/a</t>
        </is>
      </c>
      <c r="T21" s="16" t="inlineStr">
        <is>
          <t>https://www.joinef.com/contact/</t>
        </is>
      </c>
      <c r="U21" s="16" t="inlineStr">
        <is>
          <t>AI- und Deep-Tech-affin und formal im Pre-Seed aktiv, aber das Modell zielt auf Teams vor der Unternehmensgründung. Für PathWize als bestehendes Unternehmen ist EF kein passender Kapitalgeber; die Ticketgröße von 250 TUSD ist zudem klein. Der Berliner EF-Standort besteht nach aktueller Websitelage nicht mehr, wodurch der DACH-Zugang fehlt.</t>
        </is>
      </c>
      <c r="V21" s="16" t="inlineStr">
        <is>
          <t>Kein klassischer Fundraising-Kanal für existierende Startups; Beteiligungsquote im Programm vergleichsweise hoch. Kein DACH-Standort mehr auf der Website gelistet. Fondsgröße nicht offengelegt.</t>
        </is>
      </c>
      <c r="W21" s="16" t="inlineStr">
        <is>
          <t>Nicht als Investor, sondern als Ökosystem-Kanal nutzen: EF-Portfoliounternehmen (Omnea, Opply, Neptune Robotics) sind potenzielle Kunden für annotierte Trainingsdaten. Partnerschaft oder Kundenzugang statt Finanzierungsanfrage.</t>
        </is>
      </c>
      <c r="X21" s="18" t="n">
        <v>18</v>
      </c>
      <c r="Y21" s="18" t="n">
        <v>14</v>
      </c>
      <c r="Z21" s="18" t="n">
        <v>8</v>
      </c>
      <c r="AA21" s="18" t="n">
        <v>8</v>
      </c>
      <c r="AB21" s="18" t="n">
        <v>5</v>
      </c>
      <c r="AC21" s="18" t="inlineStr">
        <is>
          <t>Hoch</t>
        </is>
      </c>
      <c r="AD21" s="15" t="inlineStr">
        <is>
          <t>NEU – Recherche-Ergaenzung</t>
        </is>
      </c>
      <c r="AE21" s="16" t="inlineStr">
        <is>
          <t>https://www.joinef.com/</t>
        </is>
      </c>
      <c r="AF21" s="16" t="inlineStr">
        <is>
          <t>https://www.joinef.com/</t>
        </is>
      </c>
    </row>
    <row r="22">
      <c r="A22" s="24" t="n">
        <v>18</v>
      </c>
      <c r="B22" s="25" t="inlineStr">
        <is>
          <t>Extantia Capital</t>
        </is>
      </c>
      <c r="C22" s="26" t="inlineStr">
        <is>
          <t>C</t>
        </is>
      </c>
      <c r="D22" s="26" t="n">
        <v>53</v>
      </c>
      <c r="E22" s="15" t="inlineStr">
        <is>
          <t>Berlin</t>
        </is>
      </c>
      <c r="F22" s="15" t="inlineStr">
        <is>
          <t>Deutschland</t>
        </is>
      </c>
      <c r="G22" s="15" t="inlineStr">
        <is>
          <t>VC (Climate-first, Artikel-9-Fonds nach SFDR)</t>
        </is>
      </c>
      <c r="H22" s="16" t="inlineStr">
        <is>
          <t>Seed bis Series A</t>
        </is>
      </c>
      <c r="I22" s="15" t="inlineStr">
        <is>
          <t>Ja - führt Seed- und Series-A-Runden im Climate-Bereich an</t>
        </is>
      </c>
      <c r="J22" s="16" t="inlineStr">
        <is>
          <t>Erstinvestments ca. 1 bis 5 Mio. EUR</t>
        </is>
      </c>
      <c r="K22" s="16" t="inlineStr">
        <is>
          <t>Flagship-Fonds mit 204 Mio. EUR (Closing November 2024); ca. 300 Mio. EUR AUM insgesamt</t>
        </is>
      </c>
      <c r="L22" s="18" t="inlineStr">
        <is>
          <t>Nein</t>
        </is>
      </c>
      <c r="M22" s="16" t="inlineStr">
        <is>
          <t>Ausschließlich Climate Tech und Dekarbonisierung ('re-engineered industries' für eine schnellere, günstigere und nachhaltigere Zukunft): saubere Energie, Batterien, Industrie-Dekarbonisierung, Klimafinanzierungs-Infrastruktur.</t>
        </is>
      </c>
      <c r="N22" s="16" t="inlineStr">
        <is>
          <t>n/a - Portfolio besteht aus Climate-Hardware und Materialien (LeydenJar Technologies, Epoch Biodesign, Modern Synthesis, AssetCool, Bees &amp; Bears, Tvindkraft)</t>
        </is>
      </c>
      <c r="O22" s="16" t="inlineStr">
        <is>
          <t>Gering: kein AI-, MLOps- oder Data-Infrastruktur-Investment; die Artikel-9-Klassifizierung erzwingt einen messbaren Klimabeitrag als Investitionsvoraussetzung.</t>
        </is>
      </c>
      <c r="P22" s="16" t="inlineStr">
        <is>
          <t>-</t>
        </is>
      </c>
      <c r="Q22" s="16" t="inlineStr">
        <is>
          <t>Sebastian Heitmann</t>
        </is>
      </c>
      <c r="R22" s="16" t="inlineStr">
        <is>
          <t>Founding / General Partner (weiterhin Carlota Ochoa im Führungsteam)</t>
        </is>
      </c>
      <c r="S22" s="16" t="inlineStr">
        <is>
          <t>n/a</t>
        </is>
      </c>
      <c r="T22" s="16" t="inlineStr">
        <is>
          <t>hello@extantia.com ; Pitch-Seite: https://www.extantia.com/pitch</t>
        </is>
      </c>
      <c r="U22" s="16" t="inlineStr">
        <is>
          <t>Stage (Seed bis Series A), Ticket (1 bis 5 Mio. EUR) und Geografie passen gut, aber Extantia ist ein reiner Climate-Tech-Investor mit Artikel-9-Mandat - eine horizontale Data-Labeling-Plattform erfüllt die Klimawirkungs-Anforderung nicht.</t>
        </is>
      </c>
      <c r="V22" s="16" t="inlineStr">
        <is>
          <t>Artikel-9-Fonds mit verbindlicher Klimawirkungs-Prüfung; kein einziges AI-/Software-Infrastruktur-Investment im Portfolio. Thematischer Ausschluss faktisch gegeben.</t>
        </is>
      </c>
      <c r="W22" s="16" t="inlineStr">
        <is>
          <t>Nur sinnvoll mit einem dedizierten Climate-Narrativ (z.B. annotierte Daten für Energie-, Netz- oder Emissions-Modelle) - andernfalls von der Liste streichen.</t>
        </is>
      </c>
      <c r="X22" s="18" t="n">
        <v>26</v>
      </c>
      <c r="Y22" s="18" t="n">
        <v>5</v>
      </c>
      <c r="Z22" s="18" t="n">
        <v>3</v>
      </c>
      <c r="AA22" s="18" t="n">
        <v>9</v>
      </c>
      <c r="AB22" s="18" t="n">
        <v>10</v>
      </c>
      <c r="AC22" s="18" t="inlineStr">
        <is>
          <t>Hoch</t>
        </is>
      </c>
      <c r="AD22" s="15" t="inlineStr">
        <is>
          <t>Bestandsliste</t>
        </is>
      </c>
      <c r="AE22" s="16" t="inlineStr">
        <is>
          <t>https://www.extantia.com/</t>
        </is>
      </c>
      <c r="AF22" s="16" t="inlineStr">
        <is>
          <t>https://www.extantia.com/, https://www.extantia.com/pitch, https://www.eu-startups.com/2024/11/berlin-based-extantia-capital-closes-e204-million-flagship-fund/, https://siliconcanals.com/extantia-capital-closes-article-9-flagship-fund/, https://superscout.co/investor/extantia</t>
        </is>
      </c>
    </row>
    <row r="23">
      <c r="A23" s="24" t="n">
        <v>19</v>
      </c>
      <c r="B23" s="25" t="inlineStr">
        <is>
          <t>be-exponential</t>
        </is>
      </c>
      <c r="C23" s="26" t="inlineStr">
        <is>
          <t>C</t>
        </is>
      </c>
      <c r="D23" s="26" t="n">
        <v>52</v>
      </c>
      <c r="E23" s="15" t="inlineStr">
        <is>
          <t>Leipzig</t>
        </is>
      </c>
      <c r="F23" s="18" t="inlineStr">
        <is>
          <t>DE</t>
        </is>
      </c>
      <c r="G23" s="18" t="inlineStr">
        <is>
          <t>VC</t>
        </is>
      </c>
      <c r="H23" s="16" t="inlineStr">
        <is>
          <t>Seed (teils Pre-Seed)</t>
        </is>
      </c>
      <c r="I23" s="15" t="inlineStr">
        <is>
          <t>n/a - Lead-Rolle nicht belegt, ueberwiegend Co-Investments</t>
        </is>
      </c>
      <c r="J23" s="16" t="inlineStr">
        <is>
          <t>n/a</t>
        </is>
      </c>
      <c r="K23" s="16" t="inlineStr">
        <is>
          <t>n/a (gegruendet 2021, kleines Portfolio)</t>
        </is>
      </c>
      <c r="L23" s="18" t="inlineStr">
        <is>
          <t>Nein</t>
        </is>
      </c>
      <c r="M23" s="16" t="inlineStr">
        <is>
          <t>B2B-Startups mit Fokus auf Smart Mobility, EV und Green Energy sowie SaaS und sonstige High-Tech-Produkte</t>
        </is>
      </c>
      <c r="N23" s="16" t="inlineStr">
        <is>
          <t>Keine AI-/Data-Infrastruktur-Investments belegt; Top-Sektoren sind High Tech und Transportation/Logistics Tech, juengste Investments munevo und IO-Dynamics (EV-Ladeloesungen)</t>
        </is>
      </c>
      <c r="O23" s="16" t="inlineStr">
        <is>
          <t>Gering: B2B-/SaaS-Affinitaet vorhanden, aber Mobilitaets- und Energie-Schwerpunkt ohne ML-Bezug</t>
        </is>
      </c>
      <c r="P23" s="16" t="inlineStr">
        <is>
          <t>Data-Infra-nah</t>
        </is>
      </c>
      <c r="Q23" s="16" t="inlineStr">
        <is>
          <t>n/a</t>
        </is>
      </c>
      <c r="R23" s="16" t="inlineStr">
        <is>
          <t>n/a</t>
        </is>
      </c>
      <c r="S23" s="16" t="inlineStr">
        <is>
          <t>n/a</t>
        </is>
      </c>
      <c r="T23" s="16" t="inlineStr">
        <is>
          <t>Ueber Website https://www.be-exponential.com/ bzw. LinkedIn https://www.linkedin.com/company/be-exponential-gmbh</t>
        </is>
      </c>
      <c r="U23" s="16" t="inlineStr">
        <is>
          <t>Deutscher Seed-Investor mit B2B-/SaaS-Offenheit, aber klarer Schwerpunkt auf Mobility, EV und Green Energy und ohne jedes belegte AI-/Data-Investment. Sehr kleines und junges Vehikel.</t>
        </is>
      </c>
      <c r="V23" s="16" t="inlineStr">
        <is>
          <t>Keine oeffentlichen Angaben zu Fondsgroesse und Ticket; sehr kleines Portfolio und geringe Deal-Frequenz; Thesen-Mismatch zum Data-Labeling-Geschaeft</t>
        </is>
      </c>
      <c r="W23" s="16" t="inlineStr">
        <is>
          <t>Nur mit einem industriellen Anwendungsfall ansprechen, etwa Annotation von Sensor- und Fahrzeugdaten fuer Mobility- und Energie-Kunden.</t>
        </is>
      </c>
      <c r="X23" s="18" t="n">
        <v>22</v>
      </c>
      <c r="Y23" s="18" t="n">
        <v>12</v>
      </c>
      <c r="Z23" s="18" t="n">
        <v>4</v>
      </c>
      <c r="AA23" s="18" t="n">
        <v>5</v>
      </c>
      <c r="AB23" s="18" t="n">
        <v>9</v>
      </c>
      <c r="AC23" s="15" t="inlineStr">
        <is>
          <t>Mittel</t>
        </is>
      </c>
      <c r="AD23" s="15" t="inlineStr">
        <is>
          <t>Bestandsliste</t>
        </is>
      </c>
      <c r="AE23" s="16" t="inlineStr">
        <is>
          <t>https://www.be-exponential.com/</t>
        </is>
      </c>
      <c r="AF23" s="16" t="inlineStr">
        <is>
          <t>https://www.be-exponential.com/, https://www.startbase.com/organization/be-exponential/, https://tracxn.com/d/venture-capital/beexponential/__5GXuPvgzYWWIA7dhsZ4t9VMpmP24EfkqmG5JfVFfAJU, https://www.crunchbase.com/organization/be10x-capital</t>
        </is>
      </c>
    </row>
    <row r="24">
      <c r="A24" s="24" t="n">
        <v>20</v>
      </c>
      <c r="B24" s="25" t="inlineStr">
        <is>
          <t>Check24 Venture Capital</t>
        </is>
      </c>
      <c r="C24" s="26" t="inlineStr">
        <is>
          <t>C</t>
        </is>
      </c>
      <c r="D24" s="26" t="n">
        <v>52</v>
      </c>
      <c r="E24" s="15" t="inlineStr">
        <is>
          <t>Muenchen</t>
        </is>
      </c>
      <c r="F24" s="18" t="inlineStr">
        <is>
          <t>DE</t>
        </is>
      </c>
      <c r="G24" s="15" t="inlineStr">
        <is>
          <t>Corporate VC</t>
        </is>
      </c>
      <c r="H24" s="16" t="inlineStr">
        <is>
          <t>Seed bis Growth (Early Stage und Wachstum)</t>
        </is>
      </c>
      <c r="I24" s="15" t="inlineStr">
        <is>
          <t>Teilweise, haeufig als Co-Investor</t>
        </is>
      </c>
      <c r="J24" s="16" t="inlineStr">
        <is>
          <t>bis ca. 10 Mio. EUR pro Unternehmen</t>
        </is>
      </c>
      <c r="K24" s="16" t="inlineStr">
        <is>
          <t>ueber 60 Mio. EUR investierbares Kapital, 10 - 20 geplante Beteiligungen</t>
        </is>
      </c>
      <c r="L24" s="15" t="inlineStr">
        <is>
          <t>Teilweise</t>
        </is>
      </c>
      <c r="M24" s="16" t="inlineStr">
        <is>
          <t>Fintech, Insurtech, Online-Marktplaetze und Software mit DACH-Fokus; rein finanzgetriebene Investitionsentscheidungen</t>
        </is>
      </c>
      <c r="N24" s="16" t="inlineStr">
        <is>
          <t>Software- und Marktplatzbeteiligungen im DACH-Raum; keine belegten AI-/Data-Infrastruktur-Investments</t>
        </is>
      </c>
      <c r="O24" s="16" t="inlineStr">
        <is>
          <t>Keine belegte Relevanz</t>
        </is>
      </c>
      <c r="P24" s="16" t="inlineStr">
        <is>
          <t>Data-Infra-nah</t>
        </is>
      </c>
      <c r="Q24" s="16" t="inlineStr">
        <is>
          <t>n/a</t>
        </is>
      </c>
      <c r="R24" s="16" t="inlineStr">
        <is>
          <t>n/a</t>
        </is>
      </c>
      <c r="S24" s="16" t="inlineStr">
        <is>
          <t>n/a</t>
        </is>
      </c>
      <c r="T24" s="16" t="inlineStr">
        <is>
          <t>Kontakt ueber impact.check24.de</t>
        </is>
      </c>
      <c r="U24" s="16" t="inlineStr">
        <is>
          <t>Stage und DACH-Geografie passen, aber die These ist auf Fintech, Insurtech und Consumer-Marktplaetze zugeschnitten und deckt B2B-Data-Infrastruktur nicht ab.</t>
        </is>
      </c>
      <c r="V24" s="16" t="inlineStr">
        <is>
          <t>Consumer- und Vergleichsportal-Bias der Muttergesellschaft; sehr kleines Investmentteam; wenig sichtbarer Deep-Tech-Dealflow</t>
        </is>
      </c>
      <c r="W24" s="16" t="inlineStr">
        <is>
          <t>Nur ueber einen konkreten Anwendungsfall ansprechen, etwa Annotation und Qualitaetssicherung von Versicherungs- und Vertragsdokumenten fuer CHECK24-nahe Prozesse.</t>
        </is>
      </c>
      <c r="X24" s="18" t="n">
        <v>22</v>
      </c>
      <c r="Y24" s="18" t="n">
        <v>10</v>
      </c>
      <c r="Z24" s="18" t="n">
        <v>4</v>
      </c>
      <c r="AA24" s="18" t="n">
        <v>6</v>
      </c>
      <c r="AB24" s="18" t="n">
        <v>10</v>
      </c>
      <c r="AC24" s="15" t="inlineStr">
        <is>
          <t>Mittel</t>
        </is>
      </c>
      <c r="AD24" s="15" t="inlineStr">
        <is>
          <t>Bestandsliste</t>
        </is>
      </c>
      <c r="AE24" s="16" t="inlineStr">
        <is>
          <t>https://impact.check24.de/de</t>
        </is>
      </c>
      <c r="AF24" s="16" t="inlineStr">
        <is>
          <t>https://impact.check24.de/, https://www.munich-startup.de/en/14921/check24-ventures-60-million-fund-for-startups/, https://www.crunchbase.com/organization/check24-ventures</t>
        </is>
      </c>
    </row>
    <row r="25">
      <c r="A25" s="24" t="n">
        <v>21</v>
      </c>
      <c r="B25" s="25" t="inlineStr">
        <is>
          <t>Henkel Ventures</t>
        </is>
      </c>
      <c r="C25" s="26" t="inlineStr">
        <is>
          <t>C</t>
        </is>
      </c>
      <c r="D25" s="26" t="n">
        <v>52</v>
      </c>
      <c r="E25" s="15" t="inlineStr">
        <is>
          <t>Duesseldorf</t>
        </is>
      </c>
      <c r="F25" s="15" t="inlineStr">
        <is>
          <t>Deutschland</t>
        </is>
      </c>
      <c r="G25" s="15" t="inlineStr">
        <is>
          <t>Corporate VC (Henkel AG &amp; Co. KGaA)</t>
        </is>
      </c>
      <c r="H25" s="16" t="inlineStr">
        <is>
          <t>Early Stage bis Series B</t>
        </is>
      </c>
      <c r="I25" s="15" t="inlineStr">
        <is>
          <t>Teilweise, ueberwiegend Co-Investor mit strategischem Mehrwert</t>
        </is>
      </c>
      <c r="J25" s="16" t="inlineStr">
        <is>
          <t>ca. 500 Tsd. EUR - 5 Mio. EUR</t>
        </is>
      </c>
      <c r="K25" s="16" t="inlineStr">
        <is>
          <t>ca. 300 Mio. EUR AUM</t>
        </is>
      </c>
      <c r="L25" s="15" t="inlineStr">
        <is>
          <t>Teilweise</t>
        </is>
      </c>
      <c r="M25" s="16" t="inlineStr">
        <is>
          <t>Sustainovation und Digitalisierung entlang der Henkel-Geschaeftsbereiche: Climate Tech, Deep Tech/Materialwissenschaft, Enterprise Tech (Manufacturing, Supply Chain), Commerce/MarTech/AdTech, Longevity. Software mit Simulation und AI fuer Chemie-F&amp;E wird explizit genannt.</t>
        </is>
      </c>
      <c r="N25" s="16" t="inlineStr">
        <is>
          <t>Software/Hardware-Tech fuer Chemie-F&amp;E mit Simulation und AI sowie datengetriebene MarTech-Tools werden als Fokusfelder genannt; konkrete Data-Infra-/MLOps-Beteiligungen n/a.</t>
        </is>
      </c>
      <c r="O25" s="16" t="inlineStr">
        <is>
          <t>Gering: AI wird nur als Anwendung innerhalb der Henkel-Wertschoepfung gedacht, nicht als Infrastruktur-Investmentthese.</t>
        </is>
      </c>
      <c r="P25" s="16" t="inlineStr">
        <is>
          <t>Data-Infra-nah</t>
        </is>
      </c>
      <c r="Q25" s="16" t="inlineStr">
        <is>
          <t>Vivian Titze</t>
        </is>
      </c>
      <c r="R25" s="16" t="inlineStr">
        <is>
          <t>Investorin bei Henkel Ventures (Global Venturing Rising Star 2026)</t>
        </is>
      </c>
      <c r="S25" s="16" t="inlineStr">
        <is>
          <t>n/a</t>
        </is>
      </c>
      <c r="T25" s="16" t="inlineStr">
        <is>
          <t>Kontaktformular unter henkel-ventures.com/contact-us</t>
        </is>
      </c>
      <c r="U25" s="16" t="inlineStr">
        <is>
          <t>Ticketgroesse (0,5-5 Mio. EUR) und Early-Stage-Mandat passen formal, aber der Investmentfilter ist strikt an Henkels Consumer- und Adhesives-Geschaeft gebunden - eine horizontale Data-Labeling-Plattform hat dort keinen strategischen Anker.</t>
        </is>
      </c>
      <c r="V25" s="16" t="inlineStr">
        <is>
          <t>Corporate-Strategiefilter dominiert; kein belegtes Data-Infra-Investment; Entscheidungswege ueber Konzernstrukturen.</t>
        </is>
      </c>
      <c r="W25" s="16" t="inlineStr">
        <is>
          <t>Nur als strategischer Kunde-Investor-Case: annotierte Bild- und Sensordaten fuer Henkels Adhesive-Qualitaetskontrolle und Chemie-F&amp;E-Modelle.</t>
        </is>
      </c>
      <c r="X25" s="18" t="n">
        <v>20</v>
      </c>
      <c r="Y25" s="18" t="n">
        <v>10</v>
      </c>
      <c r="Z25" s="18" t="n">
        <v>6</v>
      </c>
      <c r="AA25" s="18" t="n">
        <v>7</v>
      </c>
      <c r="AB25" s="18" t="n">
        <v>9</v>
      </c>
      <c r="AC25" s="15" t="inlineStr">
        <is>
          <t>Mittel</t>
        </is>
      </c>
      <c r="AD25" s="15" t="inlineStr">
        <is>
          <t>Bestandsliste</t>
        </is>
      </c>
      <c r="AE25" s="16" t="inlineStr">
        <is>
          <t>https://www.henkel-ventures.com/</t>
        </is>
      </c>
      <c r="AF25" s="16" t="inlineStr">
        <is>
          <t>https://www.henkel-ventures.com/, https://www.henkel-ventures.com/investment-focus, https://globalventuring.com/people/rising-stars-2026-vivian-titze-henkel-ventures/, https://www.openvc.app/fund/Henkel%20Ventures</t>
        </is>
      </c>
    </row>
    <row r="26">
      <c r="A26" s="24" t="n">
        <v>22</v>
      </c>
      <c r="B26" s="25" t="inlineStr">
        <is>
          <t>Rheingau Founders GmbH</t>
        </is>
      </c>
      <c r="C26" s="26" t="inlineStr">
        <is>
          <t>C</t>
        </is>
      </c>
      <c r="D26" s="26" t="n">
        <v>52</v>
      </c>
      <c r="E26" s="15" t="inlineStr">
        <is>
          <t>Frankfurt am Main / Berlin</t>
        </is>
      </c>
      <c r="F26" s="15" t="inlineStr">
        <is>
          <t>Deutschland</t>
        </is>
      </c>
      <c r="G26" s="15" t="inlineStr">
        <is>
          <t>VC / Company Builder &amp; Incubator</t>
        </is>
      </c>
      <c r="H26" s="16" t="inlineStr">
        <is>
          <t>Pre-Seed bis Series A</t>
        </is>
      </c>
      <c r="I26" s="15" t="inlineStr">
        <is>
          <t>Teilweise — als Company Builder häufig Gründungsgesellschafter, seltener klassischer Lead</t>
        </is>
      </c>
      <c r="J26" s="16" t="inlineStr">
        <is>
          <t>n/a</t>
        </is>
      </c>
      <c r="K26" s="16" t="inlineStr">
        <is>
          <t>n/a; 37 Portfoliounternehmen; Team nur noch 3 Personen inkl. 2 Partner</t>
        </is>
      </c>
      <c r="L26" s="15" t="inlineStr">
        <is>
          <t>Teilweise</t>
        </is>
      </c>
      <c r="M26" s="16" t="inlineStr">
        <is>
          <t>Frühphasige Ventures, die bestehende Prozesse und Wertschöpfungsketten nachhaltig disruptieren; Schwerpunkte Fintech, Insurtech, Healthtech, Proptech, Food Delivery; Deutschland und UK</t>
        </is>
      </c>
      <c r="N26" s="16" t="inlineStr">
        <is>
          <t>Qualifyze (Lieferanten-Audit-Daten für Pharma), realxdata (Immobilien-Datenanalytik), Akhetonics (photonisches Computing, letztes belegtes Investment Nov 2024); Exits: Lieferando, Urban Sports Club (Mar 2025 an Wellhub), Simplesurance, Grab</t>
        </is>
      </c>
      <c r="O26" s="16" t="inlineStr">
        <is>
          <t>Gering — Datenanalytik-Anwendungen im Portfolio, aber kein AI-Infrastruktur- oder Trainingsdaten-Bezug</t>
        </is>
      </c>
      <c r="P26" s="16" t="inlineStr">
        <is>
          <t>-</t>
        </is>
      </c>
      <c r="Q26" s="16" t="inlineStr">
        <is>
          <t>n/a (nur zwei Partner im Rest-Team, kein AI-/Data-Verantwortlicher belegbar)</t>
        </is>
      </c>
      <c r="R26" s="16" t="inlineStr">
        <is>
          <t>n/a</t>
        </is>
      </c>
      <c r="S26" s="16" t="inlineStr">
        <is>
          <t>n/a</t>
        </is>
      </c>
      <c r="T26" s="16" t="inlineStr">
        <is>
          <t>Kontaktseite auf rheingau-founders.com</t>
        </is>
      </c>
      <c r="U26" s="16" t="inlineStr">
        <is>
          <t>Stage und Geografie passen grundsätzlich, aber die These ist auf Fintech/Insurtech/Proptech ausgerichtet und die Investmenttätigkeit ist erkennbar ausgedünnt — das letzte belegbare Neuinvestment stammt aus November 2024.</t>
        </is>
      </c>
      <c r="V26" s="16" t="inlineStr">
        <is>
          <t>Deutlich reduzierte Aktivität: letztes dokumentiertes Investment Nov 2024 (Akhetonics), Team auf 3 Personen geschrumpft; Website-Newsbereich zuletzt 2021 gepflegt; kein Fondsvolumen und keine Ticket-Range publiziert; Company-Builder-Modell kann hohe Anteilsforderungen bedeuten</t>
        </is>
      </c>
      <c r="W26" s="16" t="inlineStr">
        <is>
          <t>Niedrige Priorität — falls überhaupt, über den Akhetonics-/Deep-Tech-Winkel und mit vorheriger Klärung, ob überhaupt noch investierbares Kapital vorhanden ist.</t>
        </is>
      </c>
      <c r="X26" s="18" t="n">
        <v>22</v>
      </c>
      <c r="Y26" s="18" t="n">
        <v>10</v>
      </c>
      <c r="Z26" s="18" t="n">
        <v>6</v>
      </c>
      <c r="AA26" s="18" t="n">
        <v>4</v>
      </c>
      <c r="AB26" s="18" t="n">
        <v>10</v>
      </c>
      <c r="AC26" s="15" t="inlineStr">
        <is>
          <t>Mittel</t>
        </is>
      </c>
      <c r="AD26" s="15" t="inlineStr">
        <is>
          <t>Bestandsliste</t>
        </is>
      </c>
      <c r="AE26" s="16" t="inlineStr">
        <is>
          <t>https://rheingau-founders.com/</t>
        </is>
      </c>
      <c r="AF26" s="16" t="inlineStr">
        <is>
          <t>https://rheingau-founders.com/, https://tracxn.com/d/venture-capital/rheingau-founders/__37FVUktotqrmmG1W3A3Azh26jpZA90c2BWEnHr4Fa48, https://www.crunchbase.com/organization/rheingau-founders</t>
        </is>
      </c>
    </row>
    <row r="27">
      <c r="A27" s="24" t="n">
        <v>23</v>
      </c>
      <c r="B27" s="25" t="inlineStr">
        <is>
          <t>Richmond View Ventures</t>
        </is>
      </c>
      <c r="C27" s="26" t="inlineStr">
        <is>
          <t>C</t>
        </is>
      </c>
      <c r="D27" s="26" t="n">
        <v>52</v>
      </c>
      <c r="E27" s="15" t="inlineStr">
        <is>
          <t>Berlin (zusätzlich San Francisco)</t>
        </is>
      </c>
      <c r="F27" s="15" t="inlineStr">
        <is>
          <t>Deutschland</t>
        </is>
      </c>
      <c r="G27" s="15" t="inlineStr">
        <is>
          <t>Angel-/Family-Office-Plattform mit VC-Charakter (gegründet 2007)</t>
        </is>
      </c>
      <c r="H27" s="16" t="inlineStr">
        <is>
          <t>Pre-Seed, Seed sowie Company Building; zusätzlich Nachfolge-/Übernahmemodell für etablierte Firmen</t>
        </is>
      </c>
      <c r="I27" s="15" t="inlineStr">
        <is>
          <t>Nein bzw. selten — überwiegend Co-Investor und Angel-Position</t>
        </is>
      </c>
      <c r="J27" s="16" t="inlineStr">
        <is>
          <t>n/a</t>
        </is>
      </c>
      <c r="K27" s="16" t="inlineStr">
        <is>
          <t>n/a (kein institutioneller Fonds ausgewiesen); 59 Investments, Team von ca. 4 Personen</t>
        </is>
      </c>
      <c r="L27" s="18" t="inlineStr">
        <is>
          <t>Nein</t>
        </is>
      </c>
      <c r="M27" s="16" t="inlineStr">
        <is>
          <t>B2B SaaS und DTC/E-Commerce-Tools mit starkem Gründerteam, skalierbarer Kundenakquise und idealerweise ersten Umsätzen; keine expliziten Sektorgrenzen</t>
        </is>
      </c>
      <c r="N27" s="16" t="inlineStr">
        <is>
          <t>Kein belegtes AI-/Data-Infra-Investment; Portfolio: Close (Sales-CRM), Instant (No-Code Shopify Page Builder), Instacart, Reputation, Zum, Vault Platform; 1 Unicorn, 2 IPOs, 10 Akquisitionen</t>
        </is>
      </c>
      <c r="O27" s="16" t="inlineStr">
        <is>
          <t>Gering — SaaS-Affinität ist vorhanden, aber weder Data-Infrastruktur noch ML-Kompetenz im Portfolio erkennbar</t>
        </is>
      </c>
      <c r="P27" s="16" t="inlineStr">
        <is>
          <t>Data-Infra-nah</t>
        </is>
      </c>
      <c r="Q27" s="16" t="inlineStr">
        <is>
          <t>Frederik Fleck</t>
        </is>
      </c>
      <c r="R27" s="16" t="inlineStr">
        <is>
          <t>Gründer der Plattform (Serienunternehmer, bündelt seit 2007 seine Angel-Investments); weitere gelistete Partner: Jan Schwenzien, Ralf Schwiegelshon</t>
        </is>
      </c>
      <c r="S27" s="16" t="inlineStr">
        <is>
          <t>n/a</t>
        </is>
      </c>
      <c r="T27" s="16" t="inlineStr">
        <is>
          <t>Kontakt über rvv.tv</t>
        </is>
      </c>
      <c r="U27" s="16" t="inlineStr">
        <is>
          <t>RVV investiert früh in B2B-SaaS und hat mit Instacart und Reputation echte Treffer, aber weder eine AI-/Data-These noch entsprechende Portfolio-Belege — und ohne institutionellen Fonds ist die Ticketgröße unklar.</t>
        </is>
      </c>
      <c r="V27" s="16" t="inlineStr">
        <is>
          <t>Kein ausgewiesener institutioneller Fonds (Angel-/Family-Office-Struktur), daher unklares Dry Powder; keine Ticket-Range publiziert; Doppelstrategie aus Venture und Unternehmensübernahmen; Fokus auf DTC/E-Commerce liegt weit weg von Deep Tech</t>
        </is>
      </c>
      <c r="W27" s="16" t="inlineStr">
        <is>
          <t>Als reines B2B-SaaS-Play positionieren: PathWize mit wiederkehrenden Umsätzen, skalierbarer Kundenakquise und ersten Referenzkunden — RVVs erklärtes Suchprofil, ohne den Deep-Tech-Jargon.</t>
        </is>
      </c>
      <c r="X27" s="18" t="n">
        <v>22</v>
      </c>
      <c r="Y27" s="18" t="n">
        <v>12</v>
      </c>
      <c r="Z27" s="18" t="n">
        <v>5</v>
      </c>
      <c r="AA27" s="18" t="n">
        <v>5</v>
      </c>
      <c r="AB27" s="18" t="n">
        <v>8</v>
      </c>
      <c r="AC27" s="15" t="inlineStr">
        <is>
          <t>Mittel</t>
        </is>
      </c>
      <c r="AD27" s="15" t="inlineStr">
        <is>
          <t>Bestandsliste</t>
        </is>
      </c>
      <c r="AE27" s="16" t="inlineStr">
        <is>
          <t>https://rvv.tv/</t>
        </is>
      </c>
      <c r="AF27" s="16" t="inlineStr">
        <is>
          <t>https://rvv.tv/, https://tracxn.com/d/venture-capital/richmond-view-ventures/__Blj5dPkvuiteA2Q4QgHAXB0sQ2dw4tfBSH2jpf9PzL4, https://www.crunchbase.com/organization/richmond-view-ventures</t>
        </is>
      </c>
    </row>
    <row r="28">
      <c r="A28" s="24" t="n">
        <v>24</v>
      </c>
      <c r="B28" s="25" t="inlineStr">
        <is>
          <t>Tengelmann Ventures</t>
        </is>
      </c>
      <c r="C28" s="26" t="inlineStr">
        <is>
          <t>C</t>
        </is>
      </c>
      <c r="D28" s="26" t="n">
        <v>52</v>
      </c>
      <c r="E28" s="15" t="inlineStr">
        <is>
          <t>Mülheim an der Ruhr</t>
        </is>
      </c>
      <c r="F28" s="15" t="inlineStr">
        <is>
          <t>Deutschland</t>
        </is>
      </c>
      <c r="G28" s="15" t="inlineStr">
        <is>
          <t>Corporate VC (Family-Office-nah, Tengelmann-Gruppe)</t>
        </is>
      </c>
      <c r="H28" s="16" t="inlineStr">
        <is>
          <t>Seed bis Series B, Schwerpunkt Series A</t>
        </is>
      </c>
      <c r="I28" s="15" t="inlineStr">
        <is>
          <t>Teilweise – tritt überwiegend als Co-Investor auf, gelegentlich Lead</t>
        </is>
      </c>
      <c r="J28" s="16" t="inlineStr">
        <is>
          <t>n/a (Durchschnittliche Rundengrößen: Seed ca. 5 Mio. USD, Series A ca. 8 Mio. USD)</t>
        </is>
      </c>
      <c r="K28" s="16" t="inlineStr">
        <is>
          <t>n/a (Evergreen-Struktur der Tengelmann-Gruppe, ca. 56 Portfolio-Investments)</t>
        </is>
      </c>
      <c r="L28" s="15" t="inlineStr">
        <is>
          <t>Teilweise</t>
        </is>
      </c>
      <c r="M28" s="16" t="inlineStr">
        <is>
          <t>Consumer-zentrierte B2C- und B2B-Geschäftsmodelle in DACH: Retail/E-Commerce, Marktplätze, Consumer Internet, Food, EdTech; Leitthemen Nachhaltigkeit, Alltagsvereinfachung, Individualisierung</t>
        </is>
      </c>
      <c r="N28" s="16" t="inlineStr">
        <is>
          <t>Blickfeld (LiDAR-Sensorik), Masterplan (B2B-Learning-SaaS), CareerFoundry (EdTech), Threedy-ähnliche Software-Investments nicht belegt; kein Data-Infra-/MLOps-Investment belegbar</t>
        </is>
      </c>
      <c r="O28" s="16" t="inlineStr">
        <is>
          <t>Gering – kein belegtes Investment in Trainingsdaten, Annotation oder ML-Infrastruktur; Consumer-/Retail-Fokus dominiert</t>
        </is>
      </c>
      <c r="P28" s="16" t="inlineStr">
        <is>
          <t>Data-Infra-nah</t>
        </is>
      </c>
      <c r="Q28" s="16" t="inlineStr">
        <is>
          <t>Stefan Peukert</t>
        </is>
      </c>
      <c r="R28" s="16" t="inlineStr">
        <is>
          <t>Founder &amp; CEO / Managing Director Tengelmann Ventures</t>
        </is>
      </c>
      <c r="S28" s="16" t="inlineStr">
        <is>
          <t>n/a</t>
        </is>
      </c>
      <c r="T28" s="16" t="inlineStr">
        <is>
          <t>ventureinvestment@tengelmann.de</t>
        </is>
      </c>
      <c r="U28" s="16" t="inlineStr">
        <is>
          <t>Stage (Seed/Series A) und DACH-Geografie passen, aber die These ist klar consumer- und retailgetrieben ohne AI-/Data-Infrastruktur-Schwerpunkt. Für ein B2B-Data-Labeling-Startup fehlt der thematische Anker.</t>
        </is>
      </c>
      <c r="V28" s="16" t="inlineStr">
        <is>
          <t>Nur 2 Neuinvestments in 2025 (geringe Deal-Frequenz); kein Tech-Infrastruktur-Track-Record; Corporate-VC-Abhängigkeit von der Tengelmann-Gruppe</t>
        </is>
      </c>
      <c r="W28" s="16" t="inlineStr">
        <is>
          <t>PathWize als Effizienzhebel für die datengetriebene Produkt- und Retail-Automatisierung im Tengelmann-Ökosystem positionieren (Trainingsdaten für Vision-/Katalog-Modelle im Handel).</t>
        </is>
      </c>
      <c r="X28" s="18" t="n">
        <v>22</v>
      </c>
      <c r="Y28" s="18" t="n">
        <v>8</v>
      </c>
      <c r="Z28" s="18" t="n">
        <v>6</v>
      </c>
      <c r="AA28" s="18" t="n">
        <v>6</v>
      </c>
      <c r="AB28" s="18" t="n">
        <v>10</v>
      </c>
      <c r="AC28" s="15" t="inlineStr">
        <is>
          <t>Mittel</t>
        </is>
      </c>
      <c r="AD28" s="15" t="inlineStr">
        <is>
          <t>Bestandsliste</t>
        </is>
      </c>
      <c r="AE28" s="16" t="inlineStr">
        <is>
          <t>https://www.tengelmann-ventures.com/</t>
        </is>
      </c>
      <c r="AF28" s="16" t="inlineStr">
        <is>
          <t>https://www.tengelmann-ventures.com/, https://tracxn.com/d/venture-capital/tengelmann-ventures/__KnarLafnud7oWLsZAhf-VjMrVxbQlQX2iJ2soa_IrFA, https://www.startbase.com/organization/tengelmann-ventures/</t>
        </is>
      </c>
    </row>
    <row r="29">
      <c r="A29" s="24" t="n">
        <v>25</v>
      </c>
      <c r="B29" s="25" t="inlineStr">
        <is>
          <t>Acton Capital</t>
        </is>
      </c>
      <c r="C29" s="26" t="inlineStr">
        <is>
          <t>C</t>
        </is>
      </c>
      <c r="D29" s="26" t="n">
        <v>51</v>
      </c>
      <c r="E29" s="15" t="inlineStr">
        <is>
          <t>Muenchen</t>
        </is>
      </c>
      <c r="F29" s="15" t="inlineStr">
        <is>
          <t>Deutschland</t>
        </is>
      </c>
      <c r="G29" s="15" t="inlineStr">
        <is>
          <t>VC / Growth Equity</t>
        </is>
      </c>
      <c r="H29" s="16" t="inlineStr">
        <is>
          <t>Series A und spaeter (Series B/C), Fokus auf umsatzstarke Scale-ups</t>
        </is>
      </c>
      <c r="I29" s="18" t="inlineStr">
        <is>
          <t>Ja</t>
        </is>
      </c>
      <c r="J29" s="16" t="inlineStr">
        <is>
          <t>5 bis 10 Mio. EUR initial</t>
        </is>
      </c>
      <c r="K29" s="16" t="inlineStr">
        <is>
          <t>Acton IV mit 225 Mio. EUR (Closing 2023); kumuliert deutlich hoeher</t>
        </is>
      </c>
      <c r="L29" s="15" t="inlineStr">
        <is>
          <t>Teilweise</t>
        </is>
      </c>
      <c r="M29" s="16" t="inlineStr">
        <is>
          <t>Technologiegetriebene Geschaeftsmodelle in Europa und Nordamerika; ausdruecklich generalistisch ('category creators' statt Hype), Schwerpunkte SaaS, Marktplaetze, Fintech, HealthTech, E-Commerce</t>
        </is>
      </c>
      <c r="N29" s="16" t="inlineStr">
        <is>
          <t>Paretos (Decision Intelligence / ML-Optimierung), Klaus (AI-gestuetzte Qualitaetssicherung, an Zendesk verkauft), SoSafe, Mambu, Clio, HomeToGo, iwoca - AI als Feature, nicht als Kategorie</t>
        </is>
      </c>
      <c r="O29" s="16" t="inlineStr">
        <is>
          <t>Niedrig - keine ML-Infrastruktur-, MLOps- oder Annotationsinvestments belegbar</t>
        </is>
      </c>
      <c r="P29" s="16" t="inlineStr">
        <is>
          <t>-</t>
        </is>
      </c>
      <c r="Q29" s="16" t="inlineStr">
        <is>
          <t>Dominik Alvermann</t>
        </is>
      </c>
      <c r="R29" s="16" t="inlineStr">
        <is>
          <t>Partner (Software/SaaS); weitere Partner u.a. Bettina Engert und Julius Luehr</t>
        </is>
      </c>
      <c r="S29" s="16" t="inlineStr">
        <is>
          <t>n/a</t>
        </is>
      </c>
      <c r="T29" s="16" t="inlineStr">
        <is>
          <t>info@actoncapital.com; Telefon +49 89 2421 887 0; Kontaktformular auf https://actoncapital.com/contact</t>
        </is>
      </c>
      <c r="U29" s="16" t="inlineStr">
        <is>
          <t>Muenchner Fonds mit deutschem Marktzugang, aber Einstieg erst ab Series A mit 5-10-Mio.-Tickets und Traktionsanspruch - fuer Pre-Seed/Seed keine Option. Die generalistische Tech-enabled-These adressiert AI nur als Produktmerkmal, nicht als Infrastrukturkategorie.</t>
        </is>
      </c>
      <c r="V29" s="16" t="inlineStr">
        <is>
          <t>Kein Pre-Seed/Seed; erwartet belastbare Umsatzkennzahlen; keine AI-first- oder Data-Infra-These; Fonds IV bereits 2023 geschlossen</t>
        </is>
      </c>
      <c r="W29" s="16" t="inlineStr">
        <is>
          <t>Erst bei belastbarem ARR und Series-A-Reife ansprechen - dann PathWize als kapitaleffizientes, wiederkehrendes Datenabo mit klarer Unit Economics positionieren, wie es Actons Category-Creator-Logik entspricht.</t>
        </is>
      </c>
      <c r="X29" s="18" t="n">
        <v>12</v>
      </c>
      <c r="Y29" s="18" t="n">
        <v>14</v>
      </c>
      <c r="Z29" s="18" t="n">
        <v>7</v>
      </c>
      <c r="AA29" s="18" t="n">
        <v>8</v>
      </c>
      <c r="AB29" s="18" t="n">
        <v>10</v>
      </c>
      <c r="AC29" s="15" t="inlineStr">
        <is>
          <t>Mittel</t>
        </is>
      </c>
      <c r="AD29" s="15" t="inlineStr">
        <is>
          <t>Bestandsliste</t>
        </is>
      </c>
      <c r="AE29" s="16" t="inlineStr">
        <is>
          <t>https://actoncapital.com/</t>
        </is>
      </c>
      <c r="AF29" s="16" t="inlineStr">
        <is>
          <t>https://actoncapital.com/, https://actoncapital.com/contact</t>
        </is>
      </c>
    </row>
    <row r="30">
      <c r="A30" s="24" t="n">
        <v>26</v>
      </c>
      <c r="B30" s="25" t="inlineStr">
        <is>
          <t>Brose Ventures</t>
        </is>
      </c>
      <c r="C30" s="26" t="inlineStr">
        <is>
          <t>C</t>
        </is>
      </c>
      <c r="D30" s="26" t="n">
        <v>51</v>
      </c>
      <c r="E30" s="15" t="inlineStr">
        <is>
          <t>Berlin (Muttergesellschaft Brose SE in Bamberg/Coburg)</t>
        </is>
      </c>
      <c r="F30" s="18" t="inlineStr">
        <is>
          <t>DE</t>
        </is>
      </c>
      <c r="G30" s="15" t="inlineStr">
        <is>
          <t>Corporate VC</t>
        </is>
      </c>
      <c r="H30" s="16" t="inlineStr">
        <is>
          <t>Early bis Late Stage; Schwerpunkt Seed bis Series B</t>
        </is>
      </c>
      <c r="I30" s="15" t="inlineStr">
        <is>
          <t>Selten, ueberwiegend Co-Investor</t>
        </is>
      </c>
      <c r="J30" s="16" t="inlineStr">
        <is>
          <t>0,5 - 3 Mio. EUR</t>
        </is>
      </c>
      <c r="K30" s="16" t="inlineStr">
        <is>
          <t>n/a (Fonds der Brose SE, Groesse nicht oeffentlich)</t>
        </is>
      </c>
      <c r="L30" s="15" t="inlineStr">
        <is>
          <t>Teilweise</t>
        </is>
      </c>
      <c r="M30" s="16" t="inlineStr">
        <is>
          <t>Mobility Tech: elektrifizierte und vernetzte Fahrzeuge, Mikromobilitaet, Sensorik, Automotive Software, neue Materialien und Produktionstechnologien; AI &amp; ML werden explizit als Fokusfeld genannt</t>
        </is>
      </c>
      <c r="N30" s="16" t="inlineStr">
        <is>
          <t>Sehr kleines Portfolio (u.a. Tset); keine belegten reinen AI-/Data-Infra-Investments</t>
        </is>
      </c>
      <c r="O30" s="16" t="inlineStr">
        <is>
          <t>Thematische Naehe ueber Sensorik und Fahrzeugwahrnehmung, aber kein belegtes Annotation-Investment</t>
        </is>
      </c>
      <c r="P30" s="16" t="inlineStr">
        <is>
          <t>Data-Infra-nah</t>
        </is>
      </c>
      <c r="Q30" s="16" t="inlineStr">
        <is>
          <t>n/a</t>
        </is>
      </c>
      <c r="R30" s="16" t="inlineStr">
        <is>
          <t>n/a</t>
        </is>
      </c>
      <c r="S30" s="16" t="inlineStr">
        <is>
          <t>n/a</t>
        </is>
      </c>
      <c r="T30" s="16" t="inlineStr">
        <is>
          <t>Kontaktformular ueber brose.com/brose-ventures</t>
        </is>
      </c>
      <c r="U30" s="16" t="inlineStr">
        <is>
          <t>AI und ML stehen zwar explizit im Fokusprofil, der Fonds ist aber strategisch auf Mobility-Zulieferthemen begrenzt und seit 2024 kaum sichtbar aktiv.</t>
        </is>
      </c>
      <c r="V30" s="16" t="inlineStr">
        <is>
          <t>Nur zwei bekannte Investments seit Gruendung 2021, letztes sichtbares Deal 2024; strategischer Nutzen fuer Brose ist Voraussetzung</t>
        </is>
      </c>
      <c r="W30" s="16" t="inlineStr">
        <is>
          <t>Ueber den konkreten Anwendungsfall Sensordaten- und Perception-Annotation fuer Fahrzeugzugangs- und Sitzsysteme einsteigen und einen Brose-Pilotkunden als Einstieg vorschlagen.</t>
        </is>
      </c>
      <c r="X30" s="18" t="n">
        <v>22</v>
      </c>
      <c r="Y30" s="18" t="n">
        <v>12</v>
      </c>
      <c r="Z30" s="18" t="n">
        <v>4</v>
      </c>
      <c r="AA30" s="18" t="n">
        <v>3</v>
      </c>
      <c r="AB30" s="18" t="n">
        <v>10</v>
      </c>
      <c r="AC30" s="15" t="inlineStr">
        <is>
          <t>Mittel</t>
        </is>
      </c>
      <c r="AD30" s="15" t="inlineStr">
        <is>
          <t>Bestandsliste</t>
        </is>
      </c>
      <c r="AE30" s="16" t="inlineStr">
        <is>
          <t>https://www.brose.com/de-de/unternehmen/brose-ventures</t>
        </is>
      </c>
      <c r="AF30" s="16" t="inlineStr">
        <is>
          <t>https://www.brose.com/de-en/company/brose-ventures/, https://www.crunchbase.com/organization/brose-ventures, https://pitchbook.com/profiles/investor/465631-48</t>
        </is>
      </c>
    </row>
    <row r="31">
      <c r="A31" s="24" t="n">
        <v>27</v>
      </c>
      <c r="B31" s="25" t="inlineStr">
        <is>
          <t>GGF (Green Generation Fund)</t>
        </is>
      </c>
      <c r="C31" s="26" t="inlineStr">
        <is>
          <t>C</t>
        </is>
      </c>
      <c r="D31" s="26" t="n">
        <v>51</v>
      </c>
      <c r="E31" s="15" t="inlineStr">
        <is>
          <t>Berlin</t>
        </is>
      </c>
      <c r="F31" s="15" t="inlineStr">
        <is>
          <t>Deutschland</t>
        </is>
      </c>
      <c r="G31" s="18" t="inlineStr">
        <is>
          <t>VC</t>
        </is>
      </c>
      <c r="H31" s="16" t="inlineStr">
        <is>
          <t>Pre-Seed, Seed, Series A</t>
        </is>
      </c>
      <c r="I31" s="15" t="inlineStr">
        <is>
          <t>Ja, fuehrt Pre-Seed/Seed-Runden im eigenen Sektor an</t>
        </is>
      </c>
      <c r="J31" s="16" t="inlineStr">
        <is>
          <t>ca. 500 Tsd. EUR - 2,5 Mio. EUR</t>
        </is>
      </c>
      <c r="K31" s="16" t="inlineStr">
        <is>
          <t>ca. 100 Mio. EUR (Fund I, 2022)</t>
        </is>
      </c>
      <c r="L31" s="18" t="inlineStr">
        <is>
          <t>Nein</t>
        </is>
      </c>
      <c r="M31" s="16" t="inlineStr">
        <is>
          <t>FoodTech, GreenTech, AgriTech, Klima und Nachhaltigkeit; wissenschaftsbasierte Spin-outs (Energie, Synthetische Biologie, Chemie, Robotik). Rein impact-/sustainability-getriebene These, kein Software-/Data-Fokus.</t>
        </is>
      </c>
      <c r="N31" s="16" t="inlineStr">
        <is>
          <t>Kein belegtes Data-Infra-/MLOps-Investment. Portfolio: Neggst, Biomilq, Greenlyte, Change Foods, Klim (Regenerative Landwirtschaft, teils datengetrieben, aber kein AI-Infra-Play).</t>
        </is>
      </c>
      <c r="O31" s="16" t="inlineStr">
        <is>
          <t>Sehr gering - keine Beruehrungspunkte zu Trainingsdaten, Annotation oder ML-Infrastruktur.</t>
        </is>
      </c>
      <c r="P31" s="16" t="inlineStr">
        <is>
          <t>Data-Infra-nah</t>
        </is>
      </c>
      <c r="Q31" s="16" t="inlineStr">
        <is>
          <t>Dr. Manon Sarah Littek</t>
        </is>
      </c>
      <c r="R31" s="16" t="inlineStr">
        <is>
          <t>Founding / General Partner (Co-Founder mit Janna Ensthaler)</t>
        </is>
      </c>
      <c r="S31" s="16" t="inlineStr">
        <is>
          <t>n/a</t>
        </is>
      </c>
      <c r="T31" s="16" t="inlineStr">
        <is>
          <t>Kontaktformular auf ggf.vc; E-Mail n/a</t>
        </is>
      </c>
      <c r="U31" s="16" t="inlineStr">
        <is>
          <t>Stage und Geografie passen perfekt (Berlin, Pre-Seed bis Series A, 100 Mio. EUR Fonds), aber die These ist strikt Food-/GreenTech und damit thematisch weit weg von Data Labeling und AI-Infrastruktur.</t>
        </is>
      </c>
      <c r="V31" s="16" t="inlineStr">
        <is>
          <t>Klarer Sektor-Mismatch; Fonds I von 2022 duerfte im Reinvestment-Modus sein; Impact-Mandat gegenueber LPs erschwert branchenfremde Deals.</t>
        </is>
      </c>
      <c r="W31" s="16" t="inlineStr">
        <is>
          <t>Nur sinnvoll, wenn PathWize einen konkreten Food-/Climate-/AgriTech-Use-Case fuer Labeling (z.B. Annotation von Satelliten-/Agrarbilddaten) als Einstieg positioniert.</t>
        </is>
      </c>
      <c r="X31" s="18" t="n">
        <v>28</v>
      </c>
      <c r="Y31" s="18" t="n">
        <v>4</v>
      </c>
      <c r="Z31" s="18" t="n">
        <v>2</v>
      </c>
      <c r="AA31" s="18" t="n">
        <v>7</v>
      </c>
      <c r="AB31" s="18" t="n">
        <v>10</v>
      </c>
      <c r="AC31" s="18" t="inlineStr">
        <is>
          <t>Hoch</t>
        </is>
      </c>
      <c r="AD31" s="15" t="inlineStr">
        <is>
          <t>Bestandsliste</t>
        </is>
      </c>
      <c r="AE31" s="16" t="inlineStr">
        <is>
          <t>https://www.ggf.vc/</t>
        </is>
      </c>
      <c r="AF31" s="16" t="inlineStr">
        <is>
          <t>https://www.ggf.vc/, https://www.eu-startups.com/2022/08/berlin-based-green-generation-fund-has-raised-e100-million-to-fuel-food-tech-and-green-tech-innovatio/, https://www.vc-magazin.de/blog/2022/06/29/green-generation-fund-100-mio-eur-fonds-fuer-foodtech-und-greentech/, https://superscout.co/investor/green-generation-fund</t>
        </is>
      </c>
    </row>
    <row r="32">
      <c r="A32" s="24" t="n">
        <v>28</v>
      </c>
      <c r="B32" s="25" t="inlineStr">
        <is>
          <t>Greenfield Capital</t>
        </is>
      </c>
      <c r="C32" s="26" t="inlineStr">
        <is>
          <t>C</t>
        </is>
      </c>
      <c r="D32" s="26" t="n">
        <v>51</v>
      </c>
      <c r="E32" s="15" t="inlineStr">
        <is>
          <t>Berlin</t>
        </is>
      </c>
      <c r="F32" s="15" t="inlineStr">
        <is>
          <t>Deutschland</t>
        </is>
      </c>
      <c r="G32" s="15" t="inlineStr">
        <is>
          <t>VC (Crypto/Web3-Spezialfonds)</t>
        </is>
      </c>
      <c r="H32" s="16" t="inlineStr">
        <is>
          <t>Pre-Seed, Seed, Late Seed, Early Growth</t>
        </is>
      </c>
      <c r="I32" s="15" t="inlineStr">
        <is>
          <t>Ja (fuehrt fruehe Runden in Krypto-Protokollen an)</t>
        </is>
      </c>
      <c r="J32" s="16" t="inlineStr">
        <is>
          <t>bis ca. EUR 5 Mio.+ (laut Vestbee-Profil), typisch Pre-Seed/Seed-Tickets</t>
        </is>
      </c>
      <c r="K32" s="16" t="inlineStr">
        <is>
          <t>n/a (nicht auf der Website ausgewiesen)</t>
        </is>
      </c>
      <c r="L32" s="18" t="inlineStr">
        <is>
          <t>Nein</t>
        </is>
      </c>
      <c r="M32" s="16" t="inlineStr">
        <is>
          <t>Ausschliesslich Krypto/Web3: 'long-term backers of early developer teams building toward an open, decentralized, and more robust architecture of tomorrow's web'. Fokus auf dezentrale Protokolle, Krypto-Infrastruktur, Developer-Teams.</t>
        </is>
      </c>
      <c r="N32" s="16" t="inlineStr">
        <is>
          <t>n/a - Portfolio ist krypto-/protokoll-lastig; keine belegten klassischen AI-/Data-Infra-Investments auf der oeffentlichen Seite auffindbar</t>
        </is>
      </c>
      <c r="O32" s="16" t="inlineStr">
        <is>
          <t>Sehr gering. Human-in-the-loop-Trainingsdaten sind kein Thema des Fonds; nur bei dezentralen Daten-/Compute-Netzwerken (DePIN) gaebe es eine indirekte Bruecke.</t>
        </is>
      </c>
      <c r="P32" s="16" t="inlineStr">
        <is>
          <t>Data-Infra-nah</t>
        </is>
      </c>
      <c r="Q32" s="16" t="inlineStr">
        <is>
          <t>Jascha Samadi</t>
        </is>
      </c>
      <c r="R32" s="16" t="inlineStr">
        <is>
          <t>Founding Partner (weiterer Founding Partner: Sebastian Blum)</t>
        </is>
      </c>
      <c r="S32" s="16" t="inlineStr">
        <is>
          <t>n/a</t>
        </is>
      </c>
      <c r="T32" s="16" t="inlineStr">
        <is>
          <t>https://greenfieldcapital.com/contact/</t>
        </is>
      </c>
      <c r="U32" s="16" t="inlineStr">
        <is>
          <t>Stage (Pre-Seed/Seed, Berlin, europaweit) passt sehr gut, die These aber nicht: Greenfield ist ein reiner Krypto-/Web3-Fonds ohne belegte AI-, MLOps- oder Data-Labeling-Investments.</t>
        </is>
      </c>
      <c r="V32" s="16" t="inlineStr">
        <is>
          <t>Reiner Krypto-Fokus; Fondsgroesse nicht oeffentlich; Domainwechsel greenfield.xyz -&gt; greenfieldcapital.com; kein Thesen-Overlap mit klassischer AI-Trainingsdaten-Infrastruktur.</t>
        </is>
      </c>
      <c r="W32" s="16" t="inlineStr">
        <is>
          <t>Nur sinnvoll, falls PathWize ein dezentrales/krypto-oekonomisches Labeling-Netzwerk (DePIN fuer Trainingsdaten) positioniert - sonst nicht ansprechen.</t>
        </is>
      </c>
      <c r="X32" s="18" t="n">
        <v>26</v>
      </c>
      <c r="Y32" s="18" t="n">
        <v>5</v>
      </c>
      <c r="Z32" s="18" t="n">
        <v>3</v>
      </c>
      <c r="AA32" s="18" t="n">
        <v>7</v>
      </c>
      <c r="AB32" s="18" t="n">
        <v>10</v>
      </c>
      <c r="AC32" s="15" t="inlineStr">
        <is>
          <t>Mittel</t>
        </is>
      </c>
      <c r="AD32" s="15" t="inlineStr">
        <is>
          <t>Bestandsliste</t>
        </is>
      </c>
      <c r="AE32" s="16" t="inlineStr">
        <is>
          <t>https://greenfieldcapital.com</t>
        </is>
      </c>
      <c r="AF32" s="16" t="inlineStr">
        <is>
          <t>https://greenfieldcapital.com/, https://greenfieldcapital.com/people/, https://www.vestbee.com/vc-list/greenfield-capital</t>
        </is>
      </c>
    </row>
    <row r="33">
      <c r="A33" s="24" t="n">
        <v>29</v>
      </c>
      <c r="B33" s="25" t="inlineStr">
        <is>
          <t>co-pace</t>
        </is>
      </c>
      <c r="C33" s="26" t="inlineStr">
        <is>
          <t>C</t>
        </is>
      </c>
      <c r="D33" s="26" t="n">
        <v>50</v>
      </c>
      <c r="E33" s="15" t="inlineStr">
        <is>
          <t>Frankfurt am Main (Continental AG, Hannover)</t>
        </is>
      </c>
      <c r="F33" s="18" t="inlineStr">
        <is>
          <t>DE</t>
        </is>
      </c>
      <c r="G33" s="15" t="inlineStr">
        <is>
          <t>Corporate VC</t>
        </is>
      </c>
      <c r="H33" s="16" t="inlineStr">
        <is>
          <t>Series A, Series B, Growth</t>
        </is>
      </c>
      <c r="I33" s="15" t="inlineStr">
        <is>
          <t>Selten, ueberwiegend strategischer Co-Investor</t>
        </is>
      </c>
      <c r="J33" s="16" t="inlineStr">
        <is>
          <t>n/a (typischerweise einstelliger Mio.-Bereich, nicht oeffentlich ausgewiesen)</t>
        </is>
      </c>
      <c r="K33" s="16" t="inlineStr">
        <is>
          <t>n/a</t>
        </is>
      </c>
      <c r="L33" s="18" t="inlineStr">
        <is>
          <t>Ja</t>
        </is>
      </c>
      <c r="M33" s="16" t="inlineStr">
        <is>
          <t>Autonome Systeme, Artificial Intelligence, Sensorik, Advanced Materials, Data Security, Antriebstechnik, Smart Cities</t>
        </is>
      </c>
      <c r="N33" s="16" t="inlineStr">
        <is>
          <t>Recogni (AI-Inferenzchips fuer Perception), Autobrains (autonome Fahr-KI), DeepDrive, TriLite</t>
        </is>
      </c>
      <c r="O33" s="16" t="inlineStr">
        <is>
          <t>Hohe thematische Naehe: Perception- und Autonomie-Portfolio ist auf annotierte Sensordaten angewiesen, jedoch kein direktes Labeling-Investment</t>
        </is>
      </c>
      <c r="P33" s="16" t="inlineStr">
        <is>
          <t>-</t>
        </is>
      </c>
      <c r="Q33" s="16" t="inlineStr">
        <is>
          <t>n/a</t>
        </is>
      </c>
      <c r="R33" s="16" t="inlineStr">
        <is>
          <t>n/a</t>
        </is>
      </c>
      <c r="S33" s="16" t="inlineStr">
        <is>
          <t>n/a</t>
        </is>
      </c>
      <c r="T33" s="16" t="inlineStr">
        <is>
          <t>Kontaktformular auf co-pace.com</t>
        </is>
      </c>
      <c r="U33" s="16" t="inlineStr">
        <is>
          <t>Inhaltlich naeher an AI und Perception als die meisten Corporate-VCs dieser Batch, aber Einstieg erst ab Series A und die Investmentaktivitaet ist zuletzt nahezu zum Erliegen gekommen.</t>
        </is>
      </c>
      <c r="V33" s="16" t="inlineStr">
        <is>
          <t>Nur rund 8 Investments seit 2017 und 2026 bislang keine Neuinvestments; Continental-Konzernumbau macht die Zukunft des CVC-Arms unsicher</t>
        </is>
      </c>
      <c r="W33" s="16" t="inlineStr">
        <is>
          <t>Ueber den Perception-Stack argumentieren: PathWize liefert die annotierten Sensordaten, die Portfoliounternehmen wie Recogni und Autobrains fuer Modelltraining benoetigen.</t>
        </is>
      </c>
      <c r="X33" s="18" t="n">
        <v>10</v>
      </c>
      <c r="Y33" s="18" t="n">
        <v>16</v>
      </c>
      <c r="Z33" s="18" t="n">
        <v>12</v>
      </c>
      <c r="AA33" s="18" t="n">
        <v>3</v>
      </c>
      <c r="AB33" s="18" t="n">
        <v>9</v>
      </c>
      <c r="AC33" s="15" t="inlineStr">
        <is>
          <t>Mittel</t>
        </is>
      </c>
      <c r="AD33" s="15" t="inlineStr">
        <is>
          <t>Bestandsliste</t>
        </is>
      </c>
      <c r="AE33" s="16" t="inlineStr">
        <is>
          <t>https://www.co-pace.com/</t>
        </is>
      </c>
      <c r="AF33" s="16" t="inlineStr">
        <is>
          <t>https://www.co-pace.com/, https://www.crunchbase.com/organization/co-pace, https://tracxn.com/d/venture-capital/copace</t>
        </is>
      </c>
    </row>
    <row r="34">
      <c r="A34" s="24" t="n">
        <v>30</v>
      </c>
      <c r="B34" s="25" t="inlineStr">
        <is>
          <t>Freiraum VC</t>
        </is>
      </c>
      <c r="C34" s="26" t="inlineStr">
        <is>
          <t>C</t>
        </is>
      </c>
      <c r="D34" s="26" t="n">
        <v>50</v>
      </c>
      <c r="E34" s="15" t="inlineStr">
        <is>
          <t>München</t>
        </is>
      </c>
      <c r="F34" s="15" t="inlineStr">
        <is>
          <t>Deutschland</t>
        </is>
      </c>
      <c r="G34" s="15" t="inlineStr">
        <is>
          <t>VC / Frühphasen-Vehikel des Strascheg Center for Entrepreneurship (SCE) der Hochschule München</t>
        </is>
      </c>
      <c r="H34" s="16" t="inlineStr">
        <is>
          <t>Pre-Seed und sehr frühes Seed, Schwerpunkt Hochschul-Spin-offs und Inkubator-Teams</t>
        </is>
      </c>
      <c r="I34" s="15" t="inlineStr">
        <is>
          <t>Nein bzw. selten - agiert als Micro-Ticket-Co-Investor in Runden von durchschnittlich ca. 500 Tsd. EUR</t>
        </is>
      </c>
      <c r="J34" s="16" t="inlineStr">
        <is>
          <t>ca. 50 Tsd. bis 200 Tsd. EUR, durchschnittlich ca. 100 Tsd. EUR</t>
        </is>
      </c>
      <c r="K34" s="16" t="inlineStr">
        <is>
          <t>n/a (nicht veröffentlicht); 17 Portfoliounternehmen</t>
        </is>
      </c>
      <c r="L34" s="18" t="inlineStr">
        <is>
          <t>Nein</t>
        </is>
      </c>
      <c r="M34" s="16" t="inlineStr">
        <is>
          <t>Branchenagnostisch ('early-stage startups across industries'), Auswahlkriterien sind Team, erste Traktion und verteidigbare Technologie. Dealflow überwiegend aus Hochschulinkubatoren und Acceleratoren.</t>
        </is>
      </c>
      <c r="N34" s="16" t="inlineStr">
        <is>
          <t>Modelwise und Synsor als technologienahe Beteiligungen; weiter Zerøtec, Refinq, Pantohealth, Onyx Biotech, Breathment, Voda - kein belegtes Data-Infrastruktur- oder MLOps-Investment</t>
        </is>
      </c>
      <c r="O34" s="16" t="inlineStr">
        <is>
          <t>Gering: keine AI-/Data-These, Portfolio überwiegend Health-, Climate- und Consumer-nah.</t>
        </is>
      </c>
      <c r="P34" s="16" t="inlineStr">
        <is>
          <t>Data-Infra-nah</t>
        </is>
      </c>
      <c r="Q34" s="16" t="inlineStr">
        <is>
          <t>David Photien</t>
        </is>
      </c>
      <c r="R34" s="16" t="inlineStr">
        <is>
          <t>Partner (weitere Partner: Prof. Dr. Klaus Sailer und Prof. Dr. Herbert Gillig)</t>
        </is>
      </c>
      <c r="S34" s="16" t="inlineStr">
        <is>
          <t>n/a</t>
        </is>
      </c>
      <c r="T34" s="16" t="inlineStr">
        <is>
          <t>hello@freiraum.vc ; Bewerbungsformular: https://scefreiraum.typeform.com/to/pGVTWfjM ; Heßstraße 89, 80797 München</t>
        </is>
      </c>
      <c r="U34" s="16" t="inlineStr">
        <is>
          <t>Freiraum investiert zwar exakt in der Pre-Seed-Phase in Deutschland, jedoch mit Micro-Tickets von 50 bis 200 Tsd. EUR, ohne AI-/Data-These und mit klarem Schwerpunkt auf Hochschul-Spin-offs der Hochschule München.</t>
        </is>
      </c>
      <c r="V34" s="16" t="inlineStr">
        <is>
          <t>Zu kleine Tickets für eine substanzielle Seed-Runde, kein Lead-Investor, keine Sektorexpertise in Data-Infrastruktur, geringe Investmentfrequenz.</t>
        </is>
      </c>
      <c r="W34" s="16" t="inlineStr">
        <is>
          <t>Nur als ergänzender Micro-Co-Investor in einer Pre-Seed-Runde ansprechen - relevant vor allem bei bestehendem Bezug zum Münchner Hochschul- und SCE-Ökosystem.</t>
        </is>
      </c>
      <c r="X34" s="18" t="n">
        <v>20</v>
      </c>
      <c r="Y34" s="18" t="n">
        <v>10</v>
      </c>
      <c r="Z34" s="18" t="n">
        <v>6</v>
      </c>
      <c r="AA34" s="18" t="n">
        <v>4</v>
      </c>
      <c r="AB34" s="18" t="n">
        <v>10</v>
      </c>
      <c r="AC34" s="18" t="inlineStr">
        <is>
          <t>Hoch</t>
        </is>
      </c>
      <c r="AD34" s="15" t="inlineStr">
        <is>
          <t>Bestandsliste</t>
        </is>
      </c>
      <c r="AE34" s="16" t="inlineStr">
        <is>
          <t>https://www.freiraum.vc/</t>
        </is>
      </c>
      <c r="AF34" s="16" t="inlineStr">
        <is>
          <t>https://www.freiraum.vc/, https://scefreiraum.typeform.com/to/pGVTWfjM, https://www.munich-startup.de/en/67761/freiraum-ventures-new-vc-of-the-sce/, https://therecursive.com/europe-university-spin-off-boom-freiraum-ventures/, https://www.crunchbase.com/organization/sce-freiraum-ventures</t>
        </is>
      </c>
    </row>
    <row r="35">
      <c r="A35" s="24" t="n">
        <v>31</v>
      </c>
      <c r="B35" s="25" t="inlineStr">
        <is>
          <t>Avala Capital</t>
        </is>
      </c>
      <c r="C35" s="26" t="inlineStr">
        <is>
          <t>C</t>
        </is>
      </c>
      <c r="D35" s="26" t="n">
        <v>49</v>
      </c>
      <c r="E35" s="15" t="inlineStr">
        <is>
          <t>Berlin</t>
        </is>
      </c>
      <c r="F35" s="18" t="inlineStr">
        <is>
          <t>DE</t>
        </is>
      </c>
      <c r="G35" s="15" t="inlineStr">
        <is>
          <t>VC (Lifecycle-Investor, Family-Office-nah)</t>
        </is>
      </c>
      <c r="H35" s="16" t="inlineStr">
        <is>
          <t>Seed bis Later Stage / Growth (Lifecycle-Ansatz)</t>
        </is>
      </c>
      <c r="I35" s="15" t="inlineStr">
        <is>
          <t>Teilweise - Lead-Rolle nicht durchgaengig belegt, ueberwiegend Co-Investments</t>
        </is>
      </c>
      <c r="J35" s="16" t="inlineStr">
        <is>
          <t>250.000 EUR bis 1,5 Mio. EUR, selektiv bis 25 Mio. EUR bei 'AAA-Assets'</t>
        </is>
      </c>
      <c r="K35" s="16" t="inlineStr">
        <is>
          <t>ca. 100 Mio. EUR AUM; ca. 40 Portfoliounternehmen</t>
        </is>
      </c>
      <c r="L35" s="18" t="inlineStr">
        <is>
          <t>Nein</t>
        </is>
      </c>
      <c r="M35" s="16" t="inlineStr">
        <is>
          <t>Drei Bereiche: Food Tech, Fintech und sonstiges 'Funky Tech'; B2B und B2C, SaaS, E-Commerce, Marktplaetze, Payments; Schwerpunkt Berlin und London</t>
        </is>
      </c>
      <c r="N35" s="16" t="inlineStr">
        <is>
          <t>Keine dedizierten AI-/Data-Infrastruktur-Investments belegt; bekannte Namen sind HelloFresh, Delivery Hero, MILES Mobility, Volocopter, Handshake - Consumer, Mobility und Marktplaetze</t>
        </is>
      </c>
      <c r="O35" s="16" t="inlineStr">
        <is>
          <t>Gering: generalistischer Tech-Investor ohne ML-/Data-Infra-Track-Record</t>
        </is>
      </c>
      <c r="P35" s="16" t="inlineStr">
        <is>
          <t>Data-Infra-nah</t>
        </is>
      </c>
      <c r="Q35" s="16" t="inlineStr">
        <is>
          <t>n/a (kein Partner mit AI-/Data-Fokus belegbar)</t>
        </is>
      </c>
      <c r="R35" s="16" t="inlineStr">
        <is>
          <t>n/a</t>
        </is>
      </c>
      <c r="S35" s="16" t="inlineStr">
        <is>
          <t>n/a</t>
        </is>
      </c>
      <c r="T35" s="16" t="inlineStr">
        <is>
          <t>Ueber Website https://avalacapital.com/</t>
        </is>
      </c>
      <c r="U35" s="16" t="inlineStr">
        <is>
          <t>Berliner Generalist mit passender Ticketgroesse und Fruehphasen-Zugang, aber die erklaerten Schwerpunkte Food Tech und Fintech sowie ein Consumer-/Marktplatz-lastiges Portfolio bieten keinen Anknuepfungspunkt fuer Data Labeling.</t>
        </is>
      </c>
      <c r="V35" s="16" t="inlineStr">
        <is>
          <t>Keine AI-/Data-These und kein technischer Track-Record; unklare aktuelle Investitionsaktivitaet; sehr breite Stage-Spanne deutet auf opportunistisches statt fokussiertes Vorgehen hin</t>
        </is>
      </c>
      <c r="W35" s="16" t="inlineStr">
        <is>
          <t>Nur als opportunistischer Co-Investor ansprechen, mit Fokus auf Umsatzwachstum und Kapitaleffizienz statt auf die Technologie-Story.</t>
        </is>
      </c>
      <c r="X35" s="18" t="n">
        <v>22</v>
      </c>
      <c r="Y35" s="18" t="n">
        <v>8</v>
      </c>
      <c r="Z35" s="18" t="n">
        <v>4</v>
      </c>
      <c r="AA35" s="18" t="n">
        <v>6</v>
      </c>
      <c r="AB35" s="18" t="n">
        <v>9</v>
      </c>
      <c r="AC35" s="15" t="inlineStr">
        <is>
          <t>Mittel</t>
        </is>
      </c>
      <c r="AD35" s="15" t="inlineStr">
        <is>
          <t>Bestandsliste</t>
        </is>
      </c>
      <c r="AE35" s="16" t="inlineStr">
        <is>
          <t>https://avalacapital.com/</t>
        </is>
      </c>
      <c r="AF35" s="16" t="inlineStr">
        <is>
          <t>https://avalacapital.com/, https://www.startbase.com/organization/avala-capital/, https://tracxn.com/d/venture-capital/avala-capital/__znBDhrZTwIXl9-he-YxoQ9vnO5cYdLYVvpzuJspUCx0, https://startup-map.berlin/investors/avala_capital/portfolio</t>
        </is>
      </c>
    </row>
    <row r="36">
      <c r="A36" s="24" t="n">
        <v>32</v>
      </c>
      <c r="B36" s="25" t="inlineStr">
        <is>
          <t>Blackfin Capital Partners</t>
        </is>
      </c>
      <c r="C36" s="26" t="inlineStr">
        <is>
          <t>C</t>
        </is>
      </c>
      <c r="D36" s="26" t="n">
        <v>49</v>
      </c>
      <c r="E36" s="15" t="inlineStr">
        <is>
          <t>Paris (Bueros u.a. in Bruessel, Frankfurt, Amsterdam)</t>
        </is>
      </c>
      <c r="F36" s="18" t="inlineStr">
        <is>
          <t>FR</t>
        </is>
      </c>
      <c r="G36" s="15" t="inlineStr">
        <is>
          <t>VC / PE (Venture-Arm: BlackFin Tech)</t>
        </is>
      </c>
      <c r="H36" s="16" t="inlineStr">
        <is>
          <t>BlackFin Tech: Seed und Series A; Kernhaus daneben Financial-Services-Buyouts</t>
        </is>
      </c>
      <c r="I36" s="15" t="inlineStr">
        <is>
          <t>Ja - BlackFin Tech fuehrt Series-A-Runden im Fintech-Bereich an</t>
        </is>
      </c>
      <c r="J36" s="16" t="inlineStr">
        <is>
          <t>ca. 1 bis 5 Mio. USD im Venture-Bereich</t>
        </is>
      </c>
      <c r="K36" s="16" t="inlineStr">
        <is>
          <t>BlackFin Tech Fund: 180 Mio. EUR (2018 geschlossen, urspruenglich mit 120 Mio. EUR gestartet); Gesamthaus deutlich groesser durch PE-Fonds</t>
        </is>
      </c>
      <c r="L36" s="18" t="inlineStr">
        <is>
          <t>Nein</t>
        </is>
      </c>
      <c r="M36" s="16" t="inlineStr">
        <is>
          <t>Ausschliesslich Financial Services: FinTech, InsurTech und RegTech in Europa; daneben Buyouts von Finanzdienstleistern</t>
        </is>
      </c>
      <c r="N36" s="16" t="inlineStr">
        <is>
          <t>Keine horizontalen AI-/Data-Infrastruktur-Investments belegt; AI kommt nur als Feature in Fintech-/Insurtech-Beteiligungen vor</t>
        </is>
      </c>
      <c r="O36" s="16" t="inlineStr">
        <is>
          <t>Gering: B2B-Softwareverstaendnis vorhanden, aber striktes Financial-Services-Mandat</t>
        </is>
      </c>
      <c r="P36" s="16" t="inlineStr">
        <is>
          <t>Data-Infra-nah</t>
        </is>
      </c>
      <c r="Q36" s="16" t="inlineStr">
        <is>
          <t>n/a (kein Tech-Partner mit AI-/Data-Fokus belegbar)</t>
        </is>
      </c>
      <c r="R36" s="16" t="inlineStr">
        <is>
          <t>n/a</t>
        </is>
      </c>
      <c r="S36" s="16" t="inlineStr">
        <is>
          <t>n/a</t>
        </is>
      </c>
      <c r="T36" s="16" t="inlineStr">
        <is>
          <t>Ueber https://www.blackfin.com/tech/</t>
        </is>
      </c>
      <c r="U36" s="16" t="inlineStr">
        <is>
          <t>Etablierter europaeischer Seed-/Series-A-Lead mit passender Ticketgroesse von 1 bis 5 Mio. USD, aber mit ausschliesslichem Mandat fuer Financial Services - Data Labeling als horizontale Infrastruktur passt nicht ins Portfolio.</t>
        </is>
      </c>
      <c r="V36" s="16" t="inlineStr">
        <is>
          <t>Reiner Fintech-/Insurtech-/Regtech-Fokus; Venture-Fonds stammt aus 2018 und duerfte weitgehend investiert sein - Dry Powder fuer Neuinvestments unklar; Frankreich-Schwerpunkt im Dealflow</t>
        </is>
      </c>
      <c r="W36" s="16" t="inlineStr">
        <is>
          <t>Nur mit einer Financial-Services-Vertical-Story ansprechen: annotierte Trainingsdaten fuer KYC, Betrugserkennung, Dokumentenextraktion und Regtech-Modelle.</t>
        </is>
      </c>
      <c r="X36" s="18" t="n">
        <v>22</v>
      </c>
      <c r="Y36" s="18" t="n">
        <v>7</v>
      </c>
      <c r="Z36" s="18" t="n">
        <v>5</v>
      </c>
      <c r="AA36" s="18" t="n">
        <v>7</v>
      </c>
      <c r="AB36" s="18" t="n">
        <v>8</v>
      </c>
      <c r="AC36" s="15" t="inlineStr">
        <is>
          <t>Mittel</t>
        </is>
      </c>
      <c r="AD36" s="15" t="inlineStr">
        <is>
          <t>Bestandsliste</t>
        </is>
      </c>
      <c r="AE36" s="16" t="inlineStr">
        <is>
          <t>https://www.blackfin.com/</t>
        </is>
      </c>
      <c r="AF36" s="16" t="inlineStr">
        <is>
          <t>https://www.blackfin.com/, https://www.blackfin.com/tech/, https://www.jasmincapital.com/en/blackfin-capital-partners-launches-e120-million-europe-focused-fintech-venture-fund/, https://tracxn.com/d/venture-capital/blackfin-tech/__bH0LBxiwKvTqhelPDVutSaPR_PL3NbAYsCKhe45VEhI</t>
        </is>
      </c>
    </row>
    <row r="37">
      <c r="A37" s="24" t="n">
        <v>33</v>
      </c>
      <c r="B37" s="25" t="inlineStr">
        <is>
          <t>Team Global Management GmbH</t>
        </is>
      </c>
      <c r="C37" s="26" t="inlineStr">
        <is>
          <t>C</t>
        </is>
      </c>
      <c r="D37" s="26" t="n">
        <v>49</v>
      </c>
      <c r="E37" s="15" t="inlineStr">
        <is>
          <t>Berlin (zweiter Standort Palo Alto)</t>
        </is>
      </c>
      <c r="F37" s="18" t="inlineStr">
        <is>
          <t>DE</t>
        </is>
      </c>
      <c r="G37" s="15" t="inlineStr">
        <is>
          <t>Technologie-Holding / Company Builder (kein klassischer Fonds)</t>
        </is>
      </c>
      <c r="H37" s="16" t="inlineStr">
        <is>
          <t>Gruendung und Fruehphase bis Wachstum; agiert als Mitgruender und langfristiger Halter</t>
        </is>
      </c>
      <c r="I37" s="15" t="inlineStr">
        <is>
          <t>Teilweise (haeufig Gruendungsgesellschafter bzw. Anker, nicht als klassischer Runden-Lead)</t>
        </is>
      </c>
      <c r="J37" s="16" t="inlineStr">
        <is>
          <t>n/a</t>
        </is>
      </c>
      <c r="K37" s="16" t="inlineStr">
        <is>
          <t>n/a (Holding-Bilanz statt Fonds; ca. 13 aktive Beteiligungen)</t>
        </is>
      </c>
      <c r="L37" s="15" t="inlineStr">
        <is>
          <t>Teilweise</t>
        </is>
      </c>
      <c r="M37" s="16" t="inlineStr">
        <is>
          <t>Frontier Tech: Air Mobility, Raumfahrt, Energie und Dekarbonisierung, Robotik, KI, fortschrittliche Materialien und Energiespeicher; erklaertes Ziel gesellschaftlicher Impact ueber Technologie</t>
        </is>
      </c>
      <c r="N37" s="16" t="inlineStr">
        <is>
          <t>Figure (humanoide Robotik mit AI-Stack), Dexterity (KI-gesteuerte Logistikrobotik), Incari (HMI-Software), Astranis, SpinLaunch, TAU Systems, Theion, QUANTEQ, Autoflight, Volocopter, Enpal</t>
        </is>
      </c>
      <c r="O37" s="16" t="inlineStr">
        <is>
          <t>Mittel-indirekt: Robotik-Beteiligungen wie Figure und Dexterity sind massive Verbraucher von annotierten Sensor- und Bilddaten, aber Team Global investiert nicht in Data-Software-Layer</t>
        </is>
      </c>
      <c r="P37" s="16" t="inlineStr">
        <is>
          <t>-</t>
        </is>
      </c>
      <c r="Q37" s="16" t="inlineStr">
        <is>
          <t>Lukasz Gadowski</t>
        </is>
      </c>
      <c r="R37" s="16" t="inlineStr">
        <is>
          <t>Gruender &amp; CEO (Mitgruender: Kolja Hebenstreit)</t>
        </is>
      </c>
      <c r="S37" s="16" t="inlineStr">
        <is>
          <t>https://www.linkedin.com/company/team-global-management-gmbh (Firmenprofil; persoenliches Profil nicht verifiziert)</t>
        </is>
      </c>
      <c r="T37" s="16" t="inlineStr">
        <is>
          <t>info@teamglobal.net; Friedrichstrasse 68, 10117 Berlin</t>
        </is>
      </c>
      <c r="U37" s="16" t="inlineStr">
        <is>
          <t>Frontier-Tech-Holding mit Hardware-Schwerpunkt (Air Mobility, Raumfahrt, Energie, Robotik); AI kommt nur als Bestandteil von Robotik-Beteiligungen vor, ein B2B-Data-Services-Modell passt nicht ins Portfolio-Raster.</t>
        </is>
      </c>
      <c r="V37" s="16" t="inlineStr">
        <is>
          <t>Kein Fonds und kein definierter Investmentprozess fuer externe Pitches; Company-Builder-Logik mit hohen Anteilsanspruechen; Fokus auf kapitalintensive Hardware; keine Software-/Data-Infra-Historie</t>
        </is>
      </c>
      <c r="W37" s="16" t="inlineStr">
        <is>
          <t>Nur ueber die Robotik-Schiene sinnvoll: PathWize kann annotierte Sensor- und Vision-Daten fuer Beteiligungen wie Figure und Dexterity liefern und sich so als Portfolio-Lieferant statt als Investment positionieren.</t>
        </is>
      </c>
      <c r="X37" s="18" t="n">
        <v>15</v>
      </c>
      <c r="Y37" s="18" t="n">
        <v>12</v>
      </c>
      <c r="Z37" s="18" t="n">
        <v>8</v>
      </c>
      <c r="AA37" s="18" t="n">
        <v>6</v>
      </c>
      <c r="AB37" s="18" t="n">
        <v>8</v>
      </c>
      <c r="AC37" s="15" t="inlineStr">
        <is>
          <t>Mittel</t>
        </is>
      </c>
      <c r="AD37" s="15" t="inlineStr">
        <is>
          <t>Bestandsliste</t>
        </is>
      </c>
      <c r="AE37" s="16" t="inlineStr">
        <is>
          <t>https://teamglobal.net/</t>
        </is>
      </c>
      <c r="AF37" s="16" t="inlineStr">
        <is>
          <t>https://teamglobal.net/, https://www.crunchbase.com/organization/team-europe-ventures, https://www.linkedin.com/company/team-global-management-gmbh, https://www.cbinsights.com/company/team-global</t>
        </is>
      </c>
    </row>
    <row r="38">
      <c r="A38" s="24" t="n">
        <v>34</v>
      </c>
      <c r="B38" s="25" t="inlineStr">
        <is>
          <t>Bonventure</t>
        </is>
      </c>
      <c r="C38" s="26" t="inlineStr">
        <is>
          <t>C</t>
        </is>
      </c>
      <c r="D38" s="26" t="n">
        <v>48</v>
      </c>
      <c r="E38" s="15" t="inlineStr">
        <is>
          <t>Muenchen</t>
        </is>
      </c>
      <c r="F38" s="18" t="inlineStr">
        <is>
          <t>DE</t>
        </is>
      </c>
      <c r="G38" s="15" t="inlineStr">
        <is>
          <t>VC (Impact)</t>
        </is>
      </c>
      <c r="H38" s="16" t="inlineStr">
        <is>
          <t>Seed, Series A</t>
        </is>
      </c>
      <c r="I38" s="15" t="inlineStr">
        <is>
          <t>Ja (Lead oder Co-Lead)</t>
        </is>
      </c>
      <c r="J38" s="16" t="inlineStr">
        <is>
          <t>1 - 2,5 Mio. EUR Erstticket</t>
        </is>
      </c>
      <c r="K38" s="16" t="inlineStr">
        <is>
          <t>n/a (mehrere Impact-Fonds seit 2003, aktuelle Fondsgroesse nicht oeffentlich ausgewiesen)</t>
        </is>
      </c>
      <c r="L38" s="18" t="inlineStr">
        <is>
          <t>Nein</t>
        </is>
      </c>
      <c r="M38" s="16" t="inlineStr">
        <is>
          <t>Impact Investing mit messbarer Wirkung: Gesundheit, Bildung &amp; Chancengleichheit, Klima &amp; Natur, nachhaltiger Konsum</t>
        </is>
      </c>
      <c r="N38" s="16" t="inlineStr">
        <is>
          <t>Ueber 70 Beteiligungen, jedoch keine belegten AI-/Data-Infrastruktur-Investments</t>
        </is>
      </c>
      <c r="O38" s="16" t="inlineStr">
        <is>
          <t>Keine belegte Relevanz</t>
        </is>
      </c>
      <c r="P38" s="16" t="inlineStr">
        <is>
          <t>Data-Infra-nah</t>
        </is>
      </c>
      <c r="Q38" s="16" t="inlineStr">
        <is>
          <t>n/a</t>
        </is>
      </c>
      <c r="R38" s="16" t="inlineStr">
        <is>
          <t>n/a</t>
        </is>
      </c>
      <c r="S38" s="16" t="inlineStr">
        <is>
          <t>n/a</t>
        </is>
      </c>
      <c r="T38" s="16" t="inlineStr">
        <is>
          <t>Kontakt- und Bewerbungsformular auf bonventure.de/founders</t>
        </is>
      </c>
      <c r="U38" s="16" t="inlineStr">
        <is>
          <t>Stage, Ticket und DACH-Geografie passen gut, doch das reine Impact-Mandat ohne AI-/Data-These macht PathWize ohne belastbare Wirkungsstory nicht investierbar.</t>
        </is>
      </c>
      <c r="V38" s="16" t="inlineStr">
        <is>
          <t>Zwingender Impact-Nachweis mit Wirkungskennzahlen; 2026 bislang keine sichtbaren Neuinvestments</t>
        </is>
      </c>
      <c r="W38" s="16" t="inlineStr">
        <is>
          <t>Nur mit klarer Impact-Erzaehlung ansprechen, etwa faire Arbeitsbedingungen und Qualifizierung in der Data-Labeling-Wertschoepfungskette als Gegenmodell zu Billiglohn-Annotation.</t>
        </is>
      </c>
      <c r="X38" s="18" t="n">
        <v>26</v>
      </c>
      <c r="Y38" s="18" t="n">
        <v>4</v>
      </c>
      <c r="Z38" s="18" t="n">
        <v>2</v>
      </c>
      <c r="AA38" s="18" t="n">
        <v>6</v>
      </c>
      <c r="AB38" s="18" t="n">
        <v>10</v>
      </c>
      <c r="AC38" s="15" t="inlineStr">
        <is>
          <t>Mittel</t>
        </is>
      </c>
      <c r="AD38" s="15" t="inlineStr">
        <is>
          <t>Bestandsliste</t>
        </is>
      </c>
      <c r="AE38" s="16" t="inlineStr">
        <is>
          <t>https://www.bonventure.de/</t>
        </is>
      </c>
      <c r="AF38" s="16" t="inlineStr">
        <is>
          <t>https://www.bonventure.de/, https://www.bonventure.de/founders/, https://tracxn.com/d/venture-capital/bonventure</t>
        </is>
      </c>
    </row>
    <row r="39">
      <c r="A39" s="24" t="n">
        <v>35</v>
      </c>
      <c r="B39" s="25" t="inlineStr">
        <is>
          <t>J.C.M.B. Beteiligungs GmbH</t>
        </is>
      </c>
      <c r="C39" s="26" t="inlineStr">
        <is>
          <t>C</t>
        </is>
      </c>
      <c r="D39" s="26" t="n">
        <v>48</v>
      </c>
      <c r="E39" s="15" t="inlineStr">
        <is>
          <t>Hamburg</t>
        </is>
      </c>
      <c r="F39" s="15" t="inlineStr">
        <is>
          <t>Deutschland</t>
        </is>
      </c>
      <c r="G39" s="15" t="inlineStr">
        <is>
          <t>VC (inhabergefuehrte, unabhaengige Beteiligungsgesellschaft / Family Office)</t>
        </is>
      </c>
      <c r="H39" s="16" t="inlineStr">
        <is>
          <t>Pre-Seed, Seed</t>
        </is>
      </c>
      <c r="I39" s="15" t="inlineStr">
        <is>
          <t>Teilweise, oft als frueher Co-Investor gemeinsam mit u.a. IBB Ventures</t>
        </is>
      </c>
      <c r="J39" s="16" t="inlineStr">
        <is>
          <t>n/a</t>
        </is>
      </c>
      <c r="K39" s="16" t="inlineStr">
        <is>
          <t>n/a (Evergreen-Struktur, kein klassischer Fonds)</t>
        </is>
      </c>
      <c r="L39" s="18" t="inlineStr">
        <is>
          <t>Nein</t>
        </is>
      </c>
      <c r="M39" s="16" t="inlineStr">
        <is>
          <t>Digitale Geschaeftsmodelle breit: Internet, Entertainment/Musik, Medien, Umwelttechnologien, Dienstleistungen. Sparringspartner-Rolle fuer Gruenderteams statt thematischer Spezialisierung.</t>
        </is>
      </c>
      <c r="N39" s="16" t="inlineStr">
        <is>
          <t>Kein belegtes AI-/Data-Infra-Investment. Bekannte Beteiligungen: Sofatutor (Exit), Aupeo (Exit), Cardisio, Circolution, dunatura.</t>
        </is>
      </c>
      <c r="O39" s="16" t="inlineStr">
        <is>
          <t>Gering - Portfolio zuletzt eher Medizintechnik, Verpackung und Consumer, keine ML-Infrastruktur.</t>
        </is>
      </c>
      <c r="P39" s="16" t="inlineStr">
        <is>
          <t>Data-Infra-nah</t>
        </is>
      </c>
      <c r="Q39" s="16" t="inlineStr">
        <is>
          <t>n/a (Team aus 3 Personen, davon 2 Partner)</t>
        </is>
      </c>
      <c r="R39" s="16" t="inlineStr">
        <is>
          <t>n/a</t>
        </is>
      </c>
      <c r="S39" s="16" t="inlineStr">
        <is>
          <t>n/a</t>
        </is>
      </c>
      <c r="T39" s="16" t="inlineStr">
        <is>
          <t>Kontakt ueber jcmb.de; E-Mail n/a</t>
        </is>
      </c>
      <c r="U39" s="16" t="inlineStr">
        <is>
          <t>Echter Pre-Seed-/Seed-Investor in Deutschland, aber generalistisch-medienlastig, mit nur rund 14 Investments seit 2008 und ohne jeden AI- oder Data-Infra-Track-Record.</t>
        </is>
      </c>
      <c r="V39" s="16" t="inlineStr">
        <is>
          <t>Sehr geringe Investitionsfrequenz; kein Fondsvolumen oder Dry Powder ausgewiesen; kein technischer Deep-Tech-Anspruch; Team von nur drei Personen.</t>
        </is>
      </c>
      <c r="W39" s="16" t="inlineStr">
        <is>
          <t>Als schneller, unbuerokratischer Pre-Seed-Co-Investor neben einem technischen Lead ansprechen, mit Betonung auf frueher Umsatzgenerierung durch Dienstleistungsanteile.</t>
        </is>
      </c>
      <c r="X39" s="18" t="n">
        <v>26</v>
      </c>
      <c r="Y39" s="18" t="n">
        <v>6</v>
      </c>
      <c r="Z39" s="18" t="n">
        <v>3</v>
      </c>
      <c r="AA39" s="18" t="n">
        <v>4</v>
      </c>
      <c r="AB39" s="18" t="n">
        <v>9</v>
      </c>
      <c r="AC39" s="15" t="inlineStr">
        <is>
          <t>Mittel</t>
        </is>
      </c>
      <c r="AD39" s="15" t="inlineStr">
        <is>
          <t>Bestandsliste</t>
        </is>
      </c>
      <c r="AE39" s="16" t="inlineStr">
        <is>
          <t>https://www.jcmb.de/</t>
        </is>
      </c>
      <c r="AF39" s="16" t="inlineStr">
        <is>
          <t>https://www.jcmb.de/, https://www.jcmb.de/portfolio, https://www.deutsche-startups.de/verzeichnisse/investors-a-z/j-c-m-b/, https://tracxn.com/d/venture-capital/jcmb-beteiligungs/__K8ltDmf9yDzxfwh6q3kthcIcyXn4oVWuOBi_M4-uYaQ</t>
        </is>
      </c>
    </row>
    <row r="40">
      <c r="A40" s="24" t="n">
        <v>36</v>
      </c>
      <c r="B40" s="25" t="inlineStr">
        <is>
          <t>AM Ventures</t>
        </is>
      </c>
      <c r="C40" s="26" t="inlineStr">
        <is>
          <t>C</t>
        </is>
      </c>
      <c r="D40" s="26" t="n">
        <v>47</v>
      </c>
      <c r="E40" s="15" t="inlineStr">
        <is>
          <t>Starnberg (bei Muenchen)</t>
        </is>
      </c>
      <c r="F40" s="15" t="inlineStr">
        <is>
          <t>Deutschland</t>
        </is>
      </c>
      <c r="G40" s="15" t="inlineStr">
        <is>
          <t>Corporate VC (Ursprung EOS/Additive-Manufacturing-Umfeld)</t>
        </is>
      </c>
      <c r="H40" s="16" t="inlineStr">
        <is>
          <t>Seed bis Growth</t>
        </is>
      </c>
      <c r="I40" s="15" t="inlineStr">
        <is>
          <t>Ja (im Nischenbereich Additive Manufacturing)</t>
        </is>
      </c>
      <c r="J40" s="16" t="inlineStr">
        <is>
          <t>500 Tsd. bis 3 Mio. EUR</t>
        </is>
      </c>
      <c r="K40" s="16" t="inlineStr">
        <is>
          <t>n/a (auf der Website nicht ausgewiesen)</t>
        </is>
      </c>
      <c r="L40" s="18" t="inlineStr">
        <is>
          <t>Nein</t>
        </is>
      </c>
      <c r="M40" s="16" t="inlineStr">
        <is>
          <t>Industrieller 3D-Druck und Additive Manufacturing entlang der gesamten Kette: Materialien, Hardware, Software und Anwendungen; Schwerpunktthemen klimaeffiziente Anwendungen, Medizintechnik und digitale verteilte Fertigung; Scout-Netzwerk in 13 Laendern</t>
        </is>
      </c>
      <c r="N40" s="16" t="inlineStr">
        <is>
          <t>keine AI-Infrastruktur- oder Data-Investments belegbar; Softwareanteil bezieht sich auf Fertigungs- und Prozesssoftware fuer 3D-Druck</t>
        </is>
      </c>
      <c r="O40" s="16" t="inlineStr">
        <is>
          <t>Niedrig - allenfalls indirekt ueber Qualitaetskontrolle/Defekterkennung im Druckprozess</t>
        </is>
      </c>
      <c r="P40" s="16" t="inlineStr">
        <is>
          <t>-</t>
        </is>
      </c>
      <c r="Q40" s="16" t="inlineStr">
        <is>
          <t>Arno Held</t>
        </is>
      </c>
      <c r="R40" s="16" t="inlineStr">
        <is>
          <t>Co-Founder / Managing Partner (zweiter Gruender: Johann Oberhofer)</t>
        </is>
      </c>
      <c r="S40" s="16" t="inlineStr">
        <is>
          <t>n/a</t>
        </is>
      </c>
      <c r="T40" s="16" t="inlineStr">
        <is>
          <t>info@amventures.com; Bewerbungsformular https://vcmo0v4arr8.typeform.com/to/WFTbxeWR</t>
        </is>
      </c>
      <c r="U40" s="16" t="inlineStr">
        <is>
          <t>Deutscher Fonds mit passender Seed-Ticketgroesse von 500 Tsd. bis 3 Mio. EUR, aber ein streng vertikales Mandat auf industriellen 3D-Druck und Additive Manufacturing. Eine horizontale Data-Labeling-Plattform faellt vollstaendig ausserhalb dieser These.</t>
        </is>
      </c>
      <c r="V40" s="16" t="inlineStr">
        <is>
          <t>Sehr enges Vertikalmandat (Additive Manufacturing); Corporate-VC-Struktur mit strategischen Interessen; Fondsgroesse und Dry Powder nicht offengelegt; kein AI-/Data-Bezug</t>
        </is>
      </c>
      <c r="W40" s="16" t="inlineStr">
        <is>
          <t>Nur mit einem konkreten Additive-Manufacturing-Anwendungsfall ansprechbar, etwa annotierte Bilddaten fuer automatisierte Defekterkennung in Druckprozessen - andernfalls kein Investor-Fit.</t>
        </is>
      </c>
      <c r="X40" s="18" t="n">
        <v>22</v>
      </c>
      <c r="Y40" s="18" t="n">
        <v>5</v>
      </c>
      <c r="Z40" s="18" t="n">
        <v>3</v>
      </c>
      <c r="AA40" s="18" t="n">
        <v>7</v>
      </c>
      <c r="AB40" s="18" t="n">
        <v>10</v>
      </c>
      <c r="AC40" s="15" t="inlineStr">
        <is>
          <t>Mittel</t>
        </is>
      </c>
      <c r="AD40" s="15" t="inlineStr">
        <is>
          <t>Bestandsliste</t>
        </is>
      </c>
      <c r="AE40" s="16" t="inlineStr">
        <is>
          <t>https://www.amventures.com/</t>
        </is>
      </c>
      <c r="AF40" s="16" t="inlineStr">
        <is>
          <t>https://www.amventures.com/, https://vcmo0v4arr8.typeform.com/to/WFTbxeWR</t>
        </is>
      </c>
    </row>
    <row r="41">
      <c r="A41" s="24" t="n">
        <v>37</v>
      </c>
      <c r="B41" s="25" t="inlineStr">
        <is>
          <t>Bitstone Capital</t>
        </is>
      </c>
      <c r="C41" s="26" t="inlineStr">
        <is>
          <t>C</t>
        </is>
      </c>
      <c r="D41" s="26" t="n">
        <v>47</v>
      </c>
      <c r="E41" s="15" t="inlineStr">
        <is>
          <t>Koeln (Am Kabellager 11, 51063)</t>
        </is>
      </c>
      <c r="F41" s="18" t="inlineStr">
        <is>
          <t>DE</t>
        </is>
      </c>
      <c r="G41" s="15" t="inlineStr">
        <is>
          <t>VC (Sektor-Spezialist PropTech/ConTech)</t>
        </is>
      </c>
      <c r="H41" s="16" t="inlineStr">
        <is>
          <t>Seed bis Series A (teils Pre-Seed)</t>
        </is>
      </c>
      <c r="I41" s="15" t="inlineStr">
        <is>
          <t>Teilweise - fuehrt kleinere Seed-Runden im PropTech-Segment an</t>
        </is>
      </c>
      <c r="J41" s="16" t="inlineStr">
        <is>
          <t>n/a</t>
        </is>
      </c>
      <c r="K41" s="16" t="inlineStr">
        <is>
          <t>n/a (gegruendet 2017, 24 Portfoliounternehmen, Team von vier Personen)</t>
        </is>
      </c>
      <c r="L41" s="18" t="inlineStr">
        <is>
          <t>Nein</t>
        </is>
      </c>
      <c r="M41" s="16" t="inlineStr">
        <is>
          <t>Ausschliesslich Immobilien- und Bautechnologie entlang der Verticals Plan &amp; Build, Manage &amp; Operate, Finance &amp; Transact, New City Solutions und Climate Solutions; Deutschland und breiter Europa</t>
        </is>
      </c>
      <c r="N41" s="16" t="inlineStr">
        <is>
          <t>Keine horizontalen AI-/Data-Infrastruktur-Investments; Exits/Beteiligungen wie Doozer und Inreal Technologies liegen im Real-Estate-/Construction-Tech-Bereich</t>
        </is>
      </c>
      <c r="O41" s="16" t="inlineStr">
        <is>
          <t>Gering: allenfalls indirekt ueber Bild- und Planannotation in Bau- und Immobilienanwendungen</t>
        </is>
      </c>
      <c r="P41" s="16" t="inlineStr">
        <is>
          <t>Data-Infra-nah</t>
        </is>
      </c>
      <c r="Q41" s="16" t="inlineStr">
        <is>
          <t>n/a</t>
        </is>
      </c>
      <c r="R41" s="16" t="inlineStr">
        <is>
          <t>n/a</t>
        </is>
      </c>
      <c r="S41" s="16" t="inlineStr">
        <is>
          <t>n/a</t>
        </is>
      </c>
      <c r="T41" s="16" t="inlineStr">
        <is>
          <t>Ueber Website https://www.bitstone.capital/ ; Am Kabellager 11, 51063 Koeln</t>
        </is>
      </c>
      <c r="U41" s="16" t="inlineStr">
        <is>
          <t>Stage und Geo passen (deutscher Seed-bis-Series-A-Investor), aber der Fonds ist ein reiner PropTech-/ConTech-Spezialist ohne AI- oder Data-Infrastruktur-Mandat. Thesen-Mismatch ueberwiegt deutlich.</t>
        </is>
      </c>
      <c r="V41" s="16" t="inlineStr">
        <is>
          <t>Enger Immobilien-/Bau-Sektorfokus als faktisches Ausschlusskriterium; sehr kleines Team und Portfolio; keine oeffentlichen Angaben zu Fondsgroesse, Ticket und Dry Powder</t>
        </is>
      </c>
      <c r="W41" s="16" t="inlineStr">
        <is>
          <t>Nur mit einem konkreten ConTech-Anwendungsfall ansprechen, etwa Annotation von Bauplaenen, Baustellenbildern oder BIM-Daten fuer die Portfoliounternehmen.</t>
        </is>
      </c>
      <c r="X41" s="18" t="n">
        <v>24</v>
      </c>
      <c r="Y41" s="18" t="n">
        <v>5</v>
      </c>
      <c r="Z41" s="18" t="n">
        <v>3</v>
      </c>
      <c r="AA41" s="18" t="n">
        <v>5</v>
      </c>
      <c r="AB41" s="18" t="n">
        <v>10</v>
      </c>
      <c r="AC41" s="15" t="inlineStr">
        <is>
          <t>Mittel</t>
        </is>
      </c>
      <c r="AD41" s="15" t="inlineStr">
        <is>
          <t>Bestandsliste</t>
        </is>
      </c>
      <c r="AE41" s="16" t="inlineStr">
        <is>
          <t>https://www.bitstone.capital/</t>
        </is>
      </c>
      <c r="AF41" s="16" t="inlineStr">
        <is>
          <t>https://www.bitstone.capital/?lang=en, https://tracxn.com/d/venture-capital/bitstonecapital/__4SvLTO8lMj6E0yWrXFPb17biD6Q18isz2LW4kmqOrSM, https://www.crunchbase.com/organization/bitstone-capital, https://www.theproptechscout.com/listing/bitstone-capital/</t>
        </is>
      </c>
    </row>
    <row r="42">
      <c r="A42" s="24" t="n">
        <v>38</v>
      </c>
      <c r="B42" s="25" t="inlineStr">
        <is>
          <t>Blockwall</t>
        </is>
      </c>
      <c r="C42" s="26" t="inlineStr">
        <is>
          <t>C</t>
        </is>
      </c>
      <c r="D42" s="26" t="n">
        <v>47</v>
      </c>
      <c r="E42" s="15" t="inlineStr">
        <is>
          <t>Frankfurt am Main</t>
        </is>
      </c>
      <c r="F42" s="18" t="inlineStr">
        <is>
          <t>DE</t>
        </is>
      </c>
      <c r="G42" s="15" t="inlineStr">
        <is>
          <t>VC (Sektor-Spezialist Web3/Crypto)</t>
        </is>
      </c>
      <c r="H42" s="16" t="inlineStr">
        <is>
          <t>Pre-Seed, Seed</t>
        </is>
      </c>
      <c r="I42" s="15" t="inlineStr">
        <is>
          <t>Teilweise - Lead bei kleineren Web3-Fruehphasenrunden, sonst Co-Investor</t>
        </is>
      </c>
      <c r="J42" s="16" t="inlineStr">
        <is>
          <t>n/a</t>
        </is>
      </c>
      <c r="K42" s="16" t="inlineStr">
        <is>
          <t>n/a (gegruendet 2017, ca. 63 Investments)</t>
        </is>
      </c>
      <c r="L42" s="18" t="inlineStr">
        <is>
          <t>Nein</t>
        </is>
      </c>
      <c r="M42" s="16" t="inlineStr">
        <is>
          <t>Ausschliesslich Blockchain, Crypto und Web3: On-Chain-Finanzinfrastruktur, tokenisierte Assets, digitale Banken, Wallets und Protokolle</t>
        </is>
      </c>
      <c r="N42" s="16" t="inlineStr">
        <is>
          <t>Keine AI-/Data-Infrastruktur-Investments belegt; juengste Deals sind Kulipa (April 2026), Den, Spiko (tokenisierte Geldmarktfonds) und Blu (On-Chain-Digitalbank)</t>
        </is>
      </c>
      <c r="O42" s="16" t="inlineStr">
        <is>
          <t>Sehr gering: Krypto-Infrastruktur hat keinen Bezug zu Human-in-the-loop-Trainingsdaten</t>
        </is>
      </c>
      <c r="P42" s="16" t="inlineStr">
        <is>
          <t>Data-Infra-nah</t>
        </is>
      </c>
      <c r="Q42" s="16" t="inlineStr">
        <is>
          <t>n/a</t>
        </is>
      </c>
      <c r="R42" s="16" t="inlineStr">
        <is>
          <t>n/a</t>
        </is>
      </c>
      <c r="S42" s="16" t="inlineStr">
        <is>
          <t>n/a</t>
        </is>
      </c>
      <c r="T42" s="16" t="inlineStr">
        <is>
          <t>Ueber Website https://www.blockwall.vc/ ; Newsletter unter https://insights.blockwall.vc/</t>
        </is>
      </c>
      <c r="U42" s="16" t="inlineStr">
        <is>
          <t>Deutscher Pre-Seed-/Seed-Investor mit aktueller Deal-Aktivitaet (letztes Investment April 2026), aber vollstaendig auf Web3, Crypto und tokenisierte Finanzinfrastruktur spezialisiert - kein Anknuepfungspunkt zu Data Labeling.</t>
        </is>
      </c>
      <c r="V42" s="16" t="inlineStr">
        <is>
          <t>Reiner Krypto-/Web3-Fokus als Ausschlusskriterium; keine oeffentlichen Angaben zu Fondsgroesse und Ticket; Portfolio stark zyklusabhaengig vom Krypto-Markt</t>
        </is>
      </c>
      <c r="W42" s="16" t="inlineStr">
        <is>
          <t>Kaum sinnvoll - allenfalls ueber dezentrale Datenmarktplaetze oder tokenbasierte Verguetung von Annotatoren als Crossover-These zwischen Web3 und Trainingsdaten.</t>
        </is>
      </c>
      <c r="X42" s="18" t="n">
        <v>24</v>
      </c>
      <c r="Y42" s="18" t="n">
        <v>4</v>
      </c>
      <c r="Z42" s="18" t="n">
        <v>3</v>
      </c>
      <c r="AA42" s="18" t="n">
        <v>7</v>
      </c>
      <c r="AB42" s="18" t="n">
        <v>9</v>
      </c>
      <c r="AC42" s="15" t="inlineStr">
        <is>
          <t>Mittel</t>
        </is>
      </c>
      <c r="AD42" s="15" t="inlineStr">
        <is>
          <t>Bestandsliste</t>
        </is>
      </c>
      <c r="AE42" s="16" t="inlineStr">
        <is>
          <t>https://www.blockwall.vc/</t>
        </is>
      </c>
      <c r="AF42" s="16" t="inlineStr">
        <is>
          <t>https://www.blockwall.vc/, https://www.blockwall.vc/portfolio, https://www.crunchbase.com/organization/blockwall-management-gmbh, https://crypto-fundraising.info/funds/blockwall/</t>
        </is>
      </c>
    </row>
    <row r="43">
      <c r="A43" s="24" t="n">
        <v>39</v>
      </c>
      <c r="B43" s="25" t="inlineStr">
        <is>
          <t>Boehringer Ingelheim Venture Fund</t>
        </is>
      </c>
      <c r="C43" s="26" t="inlineStr">
        <is>
          <t>C</t>
        </is>
      </c>
      <c r="D43" s="26" t="n">
        <v>46</v>
      </c>
      <c r="E43" s="15" t="inlineStr">
        <is>
          <t>Ingelheim am Rhein</t>
        </is>
      </c>
      <c r="F43" s="18" t="inlineStr">
        <is>
          <t>DE</t>
        </is>
      </c>
      <c r="G43" s="15" t="inlineStr">
        <is>
          <t>Corporate VC</t>
        </is>
      </c>
      <c r="H43" s="16" t="inlineStr">
        <is>
          <t>Seed, Series A (Follow-ons bis Series B)</t>
        </is>
      </c>
      <c r="I43" s="15" t="inlineStr">
        <is>
          <t>Ja, fuehrt Runden von Seed bis Series B an</t>
        </is>
      </c>
      <c r="J43" s="16" t="inlineStr">
        <is>
          <t>ca. 3 - 30 Mio. USD</t>
        </is>
      </c>
      <c r="K43" s="16" t="inlineStr">
        <is>
          <t>Evergreen-Fonds, Kapitalpool zuletzt auf ca. 250 - 350 Mio. EUR erhoeht</t>
        </is>
      </c>
      <c r="L43" s="18" t="inlineStr">
        <is>
          <t>Nein</t>
        </is>
      </c>
      <c r="M43" s="16" t="inlineStr">
        <is>
          <t>Biopharma und Life Sciences: Onkologie, Regenerative Medizin, Autoimmunerkrankungen, Infektionskrankheiten, digitale Therapeutika; praeklinische Assets und Plattformen</t>
        </is>
      </c>
      <c r="N43" s="16" t="inlineStr">
        <is>
          <t>AI-Beruehrungspunkte nur im Drug-Discovery-Kontext; keine horizontalen Data-Infra- oder MLOps-Investments belegt</t>
        </is>
      </c>
      <c r="O43" s="16" t="inlineStr">
        <is>
          <t>Keine Relevanz ausserhalb biomedizinischer Datenplattformen</t>
        </is>
      </c>
      <c r="P43" s="16" t="inlineStr">
        <is>
          <t>Data-Infra-nah</t>
        </is>
      </c>
      <c r="Q43" s="16" t="inlineStr">
        <is>
          <t>n/a</t>
        </is>
      </c>
      <c r="R43" s="16" t="inlineStr">
        <is>
          <t>n/a</t>
        </is>
      </c>
      <c r="S43" s="16" t="inlineStr">
        <is>
          <t>n/a</t>
        </is>
      </c>
      <c r="T43" s="16" t="inlineStr">
        <is>
          <t>Kontaktformular auf boehringer-ingelheim-venture.com</t>
        </is>
      </c>
      <c r="U43" s="16" t="inlineStr">
        <is>
          <t>Stage und Ticketgroesse passen formal, aber der Fonds investiert ausschliesslich in Biopharma und Life Sciences und hat keinerlei Mandat fuer horizontale Data-Infrastruktur.</t>
        </is>
      </c>
      <c r="V43" s="16" t="inlineStr">
        <is>
          <t>Sektormandat schliesst B2B-Data-Infrastruktur faktisch aus; strategische Bindung an Boehringer-Pipeline</t>
        </is>
      </c>
      <c r="W43" s="16" t="inlineStr">
        <is>
          <t>Nur sinnvoll, falls PathWize eine dedizierte Vertikale fuer biomedizinische bzw. klinische Datenannotation aufbaut und diese als Kernnutzen fuer Boehringer positioniert.</t>
        </is>
      </c>
      <c r="X43" s="18" t="n">
        <v>22</v>
      </c>
      <c r="Y43" s="18" t="n">
        <v>4</v>
      </c>
      <c r="Z43" s="18" t="n">
        <v>3</v>
      </c>
      <c r="AA43" s="18" t="n">
        <v>7</v>
      </c>
      <c r="AB43" s="18" t="n">
        <v>10</v>
      </c>
      <c r="AC43" s="18" t="inlineStr">
        <is>
          <t>Hoch</t>
        </is>
      </c>
      <c r="AD43" s="15" t="inlineStr">
        <is>
          <t>Bestandsliste</t>
        </is>
      </c>
      <c r="AE43" s="16" t="inlineStr">
        <is>
          <t>https://www.boehringer-ingelheim-venture.com/</t>
        </is>
      </c>
      <c r="AF43" s="16" t="inlineStr">
        <is>
          <t>https://www.boehringer-ingelheim-venture.com/about-us, https://www.boehringer-ingelheim.com/science-innovation/human-health-innovation/bivf-funding-more-doubled-250-meu, https://www.crunchbase.com/organization/boehringer-ingelheim-venture-fund</t>
        </is>
      </c>
    </row>
    <row r="44">
      <c r="A44" s="24" t="n">
        <v>40</v>
      </c>
      <c r="B44" s="25" t="inlineStr">
        <is>
          <t>DX Ventures (heute: Delivery Hero Ventures)</t>
        </is>
      </c>
      <c r="C44" s="26" t="inlineStr">
        <is>
          <t>C</t>
        </is>
      </c>
      <c r="D44" s="26" t="n">
        <v>46</v>
      </c>
      <c r="E44" s="15" t="inlineStr">
        <is>
          <t>Berlin</t>
        </is>
      </c>
      <c r="F44" s="15" t="inlineStr">
        <is>
          <t>Deutschland</t>
        </is>
      </c>
      <c r="G44" s="15" t="inlineStr">
        <is>
          <t>Corporate VC (CVC von Delivery Hero SE, operativ unabhängig gemanagt)</t>
        </is>
      </c>
      <c r="H44" s="16" t="inlineStr">
        <is>
          <t>Seed bis Series B</t>
        </is>
      </c>
      <c r="I44" s="15" t="inlineStr">
        <is>
          <t>Teilweise - überwiegend Co-Investor, gelegentlich Lead</t>
        </is>
      </c>
      <c r="J44" s="16" t="inlineStr">
        <is>
          <t>durchschnittlich ca. 5 Mio. USD</t>
        </is>
      </c>
      <c r="K44" s="16" t="inlineStr">
        <is>
          <t>ca. 50 Mio. EUR Startkapital (2021, rund 60 Mio. USD), vollständig von Delivery Hero SE finanziert</t>
        </is>
      </c>
      <c r="L44" s="15" t="inlineStr">
        <is>
          <t>Teilweise</t>
        </is>
      </c>
      <c r="M44" s="16" t="inlineStr">
        <is>
          <t>Breites Mandat mit Schwerpunkt On-Demand-Services, Food Tech, Q-Commerce, Logistik, Nachhaltigkeit, FinTech - Artificial Intelligence wird im Mandat explizit genannt. Global investierend, Deal-Flow stark aus dem Delivery-Hero-Ökosystem.</t>
        </is>
      </c>
      <c r="N44" s="16" t="inlineStr">
        <is>
          <t>Kein belegbares reines AI-/Data-Infrastruktur-Portfolio. Bekannte Investments: Glovo, Rappi, Impossible Foods, Ola, Toku, OneOrder - überwiegend Marktplätze, Food/Delivery und Vertical SaaS. AI eher als Anwendungsebene in Portfoliofirmen.</t>
        </is>
      </c>
      <c r="O44" s="16" t="inlineStr">
        <is>
          <t>Gering bis mittel. Ein horizontaler Data-Labeling-Anbieter passt nicht zur Delivery-/On-Demand-Kernthese. Relevanz entstünde nur über einen konkreten strategischen Nutzen für Delivery Hero (z. B. Annotation von Produkt-/Menü-/Bilddaten, Katalog-Enrichment, Vision-Daten für Rider-/Logistik-Modelle).</t>
        </is>
      </c>
      <c r="P44" s="16" t="inlineStr">
        <is>
          <t>Data-Infra-nah</t>
        </is>
      </c>
      <c r="Q44" s="16" t="inlineStr">
        <is>
          <t>Duncan McIntyre</t>
        </is>
      </c>
      <c r="R44" s="16" t="inlineStr">
        <is>
          <t>Managing Director / Fondsleitung (seit 2014 bei Delivery Hero, zuvor 30+ M&amp;A-Transaktionen verantwortet)</t>
        </is>
      </c>
      <c r="S44" s="16" t="inlineStr">
        <is>
          <t>n/a</t>
        </is>
      </c>
      <c r="T44" s="16" t="inlineStr">
        <is>
          <t>Über https://dhventures.vc/ (Website antwortet auf automatisierte Abrufe mit 403); alternativ Delivery Hero SE, Berlin</t>
        </is>
      </c>
      <c r="U44" s="16" t="inlineStr">
        <is>
          <t>Berliner Standort und Seed-/Series-A-Fähigkeit passen grundsätzlich, und AI wird im Mandat genannt. Der reale Deal-Flow und das Portfolio sind aber klar auf Food Delivery, Q-Commerce, On-Demand und Logistik konzentriert. Als Corporate VC ist der Investmentcase strategisch getrieben - ein horizontales Data-Labeling-Produkt ohne konkreten Delivery-Hero-Bezug hat wenig Traktion. Pre-Seed liegt zudem unter der typischen Ticketgröße von rund 5 Mio. USD.</t>
        </is>
      </c>
      <c r="V44" s="16" t="inlineStr">
        <is>
          <t>Rebranding von DX Ventures zu Delivery Hero Ventures; alte Domain dxventures.com ist geparkt und wird zum Verkauf angeboten - Namens-/Markenwechsel prüfen. Corporate-VC-Abhängigkeit von der Delivery-Hero-Bilanz (das Unternehmen stand zuletzt unter Kostendruck), damit Unsicherheit über die Fortführung des Fondsmandats. Kein eigenständiger LP-Fonds. Strategische Investoren können bei späteren Runden signalisch belastend wirken.</t>
        </is>
      </c>
      <c r="W44" s="16" t="inlineStr">
        <is>
          <t>Nur mit strategischem Aufhänger ansprechen: annotierte Trainingsdaten für Produktkataloge, Bild-/Menü-Erkennung, Adress- und Routing-Daten oder Qualitätskontrolle in Delivery-Operations. Idealer Weg über eine warme Einführung aus dem Delivery-Hero-Umfeld an Duncan McIntyre. Für die reine Kapitalbeschaffung im Pre-Seed/Seed ist der Fonds nachrangig.</t>
        </is>
      </c>
      <c r="X44" s="18" t="n">
        <v>20</v>
      </c>
      <c r="Y44" s="18" t="n">
        <v>8</v>
      </c>
      <c r="Z44" s="18" t="n">
        <v>4</v>
      </c>
      <c r="AA44" s="18" t="n">
        <v>5</v>
      </c>
      <c r="AB44" s="18" t="n">
        <v>9</v>
      </c>
      <c r="AC44" s="15" t="inlineStr">
        <is>
          <t>Mittel</t>
        </is>
      </c>
      <c r="AD44" s="15" t="inlineStr">
        <is>
          <t>Bestandsliste</t>
        </is>
      </c>
      <c r="AE44" s="16" t="inlineStr">
        <is>
          <t>https://dhventures.vc/ (frühere Domain dxventures.com ist geparkt/zum Verkauf)</t>
        </is>
      </c>
      <c r="AF44" s="16" t="inlineStr">
        <is>
          <t>https://www.deliveryhero.com/newsroom/delivery-hero-launches-venture-capital-fund-dx-ventures/ ; https://dhventures.vc/ ; https://www.crunchbase.com/organization/dx-ventures ; https://www.menabytes.com/delivery-hero-dx-ventures/ ; https://tracxn.com/d/venture-capital/delivery-hero-ventures</t>
        </is>
      </c>
    </row>
    <row r="45">
      <c r="A45" s="24" t="n">
        <v>41</v>
      </c>
      <c r="B45" s="25" t="inlineStr">
        <is>
          <t>Munich Venture Partners</t>
        </is>
      </c>
      <c r="C45" s="26" t="inlineStr">
        <is>
          <t>C</t>
        </is>
      </c>
      <c r="D45" s="26" t="n">
        <v>46</v>
      </c>
      <c r="E45" s="15" t="inlineStr">
        <is>
          <t>München</t>
        </is>
      </c>
      <c r="F45" s="15" t="inlineStr">
        <is>
          <t>Deutschland</t>
        </is>
      </c>
      <c r="G45" s="18" t="inlineStr">
        <is>
          <t>VC</t>
        </is>
      </c>
      <c r="H45" s="16" t="inlineStr">
        <is>
          <t>Seed, Series A, Series B (Fokus auf Frühphase mit Follow-on-Kapazität)</t>
        </is>
      </c>
      <c r="I45" s="15" t="inlineStr">
        <is>
          <t>Ja (führt in ihren Kernsektoren Runden an)</t>
        </is>
      </c>
      <c r="J45" s="16" t="inlineStr">
        <is>
          <t>n/a</t>
        </is>
      </c>
      <c r="K45" s="16" t="inlineStr">
        <is>
          <t>ca. 196 Mio. EUR AUM</t>
        </is>
      </c>
      <c r="L45" s="18" t="inlineStr">
        <is>
          <t>Nein</t>
        </is>
      </c>
      <c r="M45" s="16" t="inlineStr">
        <is>
          <t>Eco-Industrial Revolution: Industrial Tech, Energy Transition, Mobility &amp; Logistics, Agriculture &amp; Foodtech; Dekarbonisierung und Digitalisierung emissionsintensiver Industrien</t>
        </is>
      </c>
      <c r="N45" s="16" t="inlineStr">
        <is>
          <t>Kein belegtes AI-/Data-Infra-Investment; Portfolio umfasst Electrochaea, GreenCom Networks (Energie-IoT), Prolupin, Luxexcel, Kebony; Exits: sonnen (an Shell), relayr, Proximetry</t>
        </is>
      </c>
      <c r="O45" s="16" t="inlineStr">
        <is>
          <t>Sehr gering — kein Bezug zu Trainingsdaten, Annotation oder ML-Infrastruktur; Digitalisierung wird nur als Mittel zur Dekarbonisierung gedacht</t>
        </is>
      </c>
      <c r="P45" s="16" t="inlineStr">
        <is>
          <t>Data-Infra-nah</t>
        </is>
      </c>
      <c r="Q45" s="16" t="inlineStr">
        <is>
          <t>Walter Grassl</t>
        </is>
      </c>
      <c r="R45" s="16" t="inlineStr">
        <is>
          <t>Founder &amp; Partner (IT-Hintergrund, PhD Informatik) — technisch anschlussfähigster Ansprechpartner im Team</t>
        </is>
      </c>
      <c r="S45" s="16" t="inlineStr">
        <is>
          <t>n/a</t>
        </is>
      </c>
      <c r="T45" s="16" t="inlineStr">
        <is>
          <t>info@munichvp.com; Telefon +49 151 46481058</t>
        </is>
      </c>
      <c r="U45" s="16" t="inlineStr">
        <is>
          <t>Stage und Geografie passen, aber die These ist reiner Climate-/Industrial-Tech-Fokus ohne jeden AI- oder Data-Infrastruktur-Anker. Im Portfolio findet sich kein einziges Software-, MLOps- oder Trainingsdaten-Investment.</t>
        </is>
      </c>
      <c r="V45" s="16" t="inlineStr">
        <is>
          <t>Klimafonds ohne AI-These; keine aktuellen Investments öffentlich belegbar; kein Ticket-Size-Range publiziert; Fondsgröße von 196 Mio. EUR verteilt auf 24 Portfoliofirmen deutet auf begrenztes verfügbares Dry Powder hin</t>
        </is>
      </c>
      <c r="W45" s="16" t="inlineStr">
        <is>
          <t>Nur sinnvoll mit einem industriellen Framing: PathWize als Lieferant annotierter Sensor- und Produktionsdaten für Industrial-AI-Anwendungen in ihren Portfoliofirmen — ansonsten nicht priorisieren.</t>
        </is>
      </c>
      <c r="X45" s="18" t="n">
        <v>20</v>
      </c>
      <c r="Y45" s="18" t="n">
        <v>8</v>
      </c>
      <c r="Z45" s="18" t="n">
        <v>3</v>
      </c>
      <c r="AA45" s="18" t="n">
        <v>5</v>
      </c>
      <c r="AB45" s="18" t="n">
        <v>10</v>
      </c>
      <c r="AC45" s="15" t="inlineStr">
        <is>
          <t>Mittel</t>
        </is>
      </c>
      <c r="AD45" s="15" t="inlineStr">
        <is>
          <t>Bestandsliste</t>
        </is>
      </c>
      <c r="AE45" s="16" t="inlineStr">
        <is>
          <t>https://munichvp.com/</t>
        </is>
      </c>
      <c r="AF45" s="16" t="inlineStr">
        <is>
          <t>https://munichvp.com/, https://www.munich-startup.de/en/116527/new-funds-new-opportunities/</t>
        </is>
      </c>
    </row>
    <row r="46">
      <c r="A46" s="24" t="n">
        <v>42</v>
      </c>
      <c r="B46" s="25" t="inlineStr">
        <is>
          <t>TAKKT Beteiligungen</t>
        </is>
      </c>
      <c r="C46" s="26" t="inlineStr">
        <is>
          <t>C</t>
        </is>
      </c>
      <c r="D46" s="26" t="n">
        <v>46</v>
      </c>
      <c r="E46" s="15" t="inlineStr">
        <is>
          <t>Stuttgart</t>
        </is>
      </c>
      <c r="F46" s="18" t="inlineStr">
        <is>
          <t>DE</t>
        </is>
      </c>
      <c r="G46" s="15" t="inlineStr">
        <is>
          <t>Corporate VC (TAKKT Beteiligungsgesellschaft mbH, 100-Prozent-Tochter der TAKKT AG)</t>
        </is>
      </c>
      <c r="H46" s="16" t="inlineStr">
        <is>
          <t>Seed, Series A, Series B und darueber hinaus</t>
        </is>
      </c>
      <c r="I46" s="15" t="inlineStr">
        <is>
          <t>Nein bis selten (agiert ueberwiegend als Co-Investor neben VC-Fonds)</t>
        </is>
      </c>
      <c r="J46" s="16" t="inlineStr">
        <is>
          <t>EUR 250k bis 3 Mio. pro Investment, in Einzelfaellen mehr</t>
        </is>
      </c>
      <c r="K46" s="16" t="inlineStr">
        <is>
          <t>n/a (Bilanzinvestitionen der TAKKT AG, kein eigenstaendiges Fondsvolumen)</t>
        </is>
      </c>
      <c r="L46" s="18" t="inlineStr">
        <is>
          <t>Nein</t>
        </is>
      </c>
      <c r="M46" s="16" t="inlineStr">
        <is>
          <t>Technologie- und Servicemodelle, die die nachhaltige Transformation des B2B-(Versand-)Handels beschleunigen: Business Equipment, Supplies, Circular Economy, innovativer Versandhandel</t>
        </is>
      </c>
      <c r="N46" s="16" t="inlineStr">
        <is>
          <t>n/a (keine belegten AI- oder Data-Infrastruktur-Investments)</t>
        </is>
      </c>
      <c r="O46" s="16" t="inlineStr">
        <is>
          <t>Gering: Strategischer Corporate-Fokus auf B2B-Handel, kein Bezug zu Trainingsdaten oder ML-Infrastruktur</t>
        </is>
      </c>
      <c r="P46" s="16" t="inlineStr">
        <is>
          <t>Data-Infra-nah</t>
        </is>
      </c>
      <c r="Q46" s="16" t="inlineStr">
        <is>
          <t>n/a</t>
        </is>
      </c>
      <c r="R46" s="16" t="inlineStr">
        <is>
          <t>n/a</t>
        </is>
      </c>
      <c r="S46" s="16" t="inlineStr">
        <is>
          <t>n/a</t>
        </is>
      </c>
      <c r="T46" s="16" t="inlineStr">
        <is>
          <t>Kontaktseite unter https://www.takkt.de/en/about-takkt/venture-capital/contact</t>
        </is>
      </c>
      <c r="U46" s="16" t="inlineStr">
        <is>
          <t>Corporate VC mit passender Ticketgroesse (EUR 250k bis 3 Mio.) und Seed-Bereitschaft, aber die These ist strikt auf die Transformation des B2B-Versandhandels begrenzt - PathWize hat keinen strategischen Anknuepfungspunkt.</t>
        </is>
      </c>
      <c r="V46" s="16" t="inlineStr">
        <is>
          <t>Strategisch getriebener Corporate-Investor mit engem Kerngeschaeftsbezug; kein Tech-/AI-Track-Record; Bilanzinvestitionen abhaengig von der Ergebnislage der TAKKT AG</t>
        </is>
      </c>
      <c r="W46" s="16" t="inlineStr">
        <is>
          <t>Nur sinnvoll, wenn PathWize einen konkreten Use Case im B2B-Handel vorweist, etwa Produktdaten-Annotation und Katalog-Klassifikation fuer TAKKT-Vertriebsmarken.</t>
        </is>
      </c>
      <c r="X46" s="18" t="n">
        <v>20</v>
      </c>
      <c r="Y46" s="18" t="n">
        <v>8</v>
      </c>
      <c r="Z46" s="18" t="n">
        <v>3</v>
      </c>
      <c r="AA46" s="18" t="n">
        <v>6</v>
      </c>
      <c r="AB46" s="18" t="n">
        <v>9</v>
      </c>
      <c r="AC46" s="15" t="inlineStr">
        <is>
          <t>Mittel</t>
        </is>
      </c>
      <c r="AD46" s="15" t="inlineStr">
        <is>
          <t>Bestandsliste</t>
        </is>
      </c>
      <c r="AE46" s="16" t="inlineStr">
        <is>
          <t>https://www.takkt.de/en/about-takkt/venture-capital/why-takkt-venture-capital</t>
        </is>
      </c>
      <c r="AF46" s="16" t="inlineStr">
        <is>
          <t>https://www.takkt.de/en/about-takkt/venture-capital/investment-criteria, https://www.takkt.de/en/about-takkt/venture-capital/why-takkt-venture-capital, https://www.crunchbase.com/organization/takkt-beteiligungsgesellschaft, https://www.linkedin.com/company/takktbg</t>
        </is>
      </c>
    </row>
    <row r="47">
      <c r="A47" s="24" t="n">
        <v>43</v>
      </c>
      <c r="B47" s="25" t="inlineStr">
        <is>
          <t>Apollo Health Ventures</t>
        </is>
      </c>
      <c r="C47" s="26" t="inlineStr">
        <is>
          <t>C</t>
        </is>
      </c>
      <c r="D47" s="26" t="n">
        <v>45</v>
      </c>
      <c r="E47" s="15" t="inlineStr">
        <is>
          <t>Berlin (US-Hub Boston/Cambridge)</t>
        </is>
      </c>
      <c r="F47" s="18" t="inlineStr">
        <is>
          <t>DE</t>
        </is>
      </c>
      <c r="G47" s="15" t="inlineStr">
        <is>
          <t>VC (Sektor-Spezialist Life Sciences)</t>
        </is>
      </c>
      <c r="H47" s="16" t="inlineStr">
        <is>
          <t>Pre-Seed, Seed, Series A (haeufig Company-Building / Co-Founding)</t>
        </is>
      </c>
      <c r="I47" s="15" t="inlineStr">
        <is>
          <t>Ja - fuehrt Seed-Runden an und gruendet Portfoliounternehmen mit</t>
        </is>
      </c>
      <c r="J47" s="16" t="inlineStr">
        <is>
          <t>n/a (Seed-Runden im Schnitt ca. 9,7 Mio. USD, Series A ca. 34 Mio. USD Gesamtrundengroesse)</t>
        </is>
      </c>
      <c r="K47" s="16" t="inlineStr">
        <is>
          <t>Fund II: 180 Mio. USD</t>
        </is>
      </c>
      <c r="L47" s="18" t="inlineStr">
        <is>
          <t>Nein</t>
        </is>
      </c>
      <c r="M47" s="16" t="inlineStr">
        <is>
          <t>Ausschliesslich Longevity/Healthspan: Biotech und Therapeutika gegen altersbedingte Erkrankungen und den Alterungsprozess selbst; aktives Venture-Building mit Wissenschaftlern</t>
        </is>
      </c>
      <c r="N47" s="16" t="inlineStr">
        <is>
          <t>Keine belegten AI-/Data-Infrastruktur-Investments; Portfolio ist therapeutisch (Auron Therapeutics, HAYA Therapeutics, Cleara Biotech, Cognito Therapeutics, Aeovian Pharmaceuticals)</t>
        </is>
      </c>
      <c r="O47" s="16" t="inlineStr">
        <is>
          <t>Sehr gering - allenfalls indirekt ueber biologische Datenauswertung in Portfoliounternehmen</t>
        </is>
      </c>
      <c r="P47" s="16" t="inlineStr">
        <is>
          <t>Data-Infra-nah</t>
        </is>
      </c>
      <c r="Q47" s="16" t="inlineStr">
        <is>
          <t>n/a (kein Partner mit AI-/Data-Infra-Fokus auffindbar)</t>
        </is>
      </c>
      <c r="R47" s="16" t="inlineStr">
        <is>
          <t>n/a</t>
        </is>
      </c>
      <c r="S47" s="16" t="inlineStr">
        <is>
          <t>n/a</t>
        </is>
      </c>
      <c r="T47" s="16" t="inlineStr">
        <is>
          <t>Kontaktformular auf https://www.apollo.vc/</t>
        </is>
      </c>
      <c r="U47" s="16" t="inlineStr">
        <is>
          <t>Stage und Standort Berlin passen, aber der Fonds investiert ausschliesslich in Longevity-Biotech und Therapeutika - eine horizontale Data-Labeling-Plattform faellt komplett aus dem Mandat. Kein einziges belegtes AI-/Data-Infra-Investment.</t>
        </is>
      </c>
      <c r="V47" s="16" t="inlineStr">
        <is>
          <t>Reiner Life-Sciences-/Longevity-Fokus, kein Software-Mandat; Company-Building-Modell bevorzugt selbst mitgegruendete Unternehmen gegenueber externem Dealflow</t>
        </is>
      </c>
      <c r="W47" s="16" t="inlineStr">
        <is>
          <t>Nur sinnvoll, wenn PathWize einen konkreten Biotech-/Life-Science-Anwendungsfall (z.B. Annotation biomedizinischer Bild- oder Omics-Daten) als eigenstaendige Vertical-Story vorlegt.</t>
        </is>
      </c>
      <c r="X47" s="18" t="n">
        <v>24</v>
      </c>
      <c r="Y47" s="18" t="n">
        <v>3</v>
      </c>
      <c r="Z47" s="18" t="n">
        <v>2</v>
      </c>
      <c r="AA47" s="18" t="n">
        <v>7</v>
      </c>
      <c r="AB47" s="18" t="n">
        <v>9</v>
      </c>
      <c r="AC47" s="18" t="inlineStr">
        <is>
          <t>Hoch</t>
        </is>
      </c>
      <c r="AD47" s="15" t="inlineStr">
        <is>
          <t>Bestandsliste</t>
        </is>
      </c>
      <c r="AE47" s="16" t="inlineStr">
        <is>
          <t>https://www.apollo.vc/</t>
        </is>
      </c>
      <c r="AF47" s="16" t="inlineStr">
        <is>
          <t>https://www.apollo.vc/, https://www.apollo.vc/news/apollo-closes-180-million-fund, https://www.crunchbase.com/organization/apollo-health-ventures, https://www.fiercebiotech.com/biotech/apollo-s-mission-to-extend-human-health-span-gets-180m-boost-giving-vc-fund-a-launchpad-for</t>
        </is>
      </c>
    </row>
    <row r="48">
      <c r="A48" s="24" t="n">
        <v>44</v>
      </c>
      <c r="B48" s="25" t="inlineStr">
        <is>
          <t>Media Ventures</t>
        </is>
      </c>
      <c r="C48" s="26" t="inlineStr">
        <is>
          <t>C</t>
        </is>
      </c>
      <c r="D48" s="26" t="n">
        <v>45</v>
      </c>
      <c r="E48" s="18" t="inlineStr">
        <is>
          <t>Koeln</t>
        </is>
      </c>
      <c r="F48" s="15" t="inlineStr">
        <is>
          <t>Deutschland</t>
        </is>
      </c>
      <c r="G48" s="15" t="inlineStr">
        <is>
          <t>VC / Family Office (Umfeld Familie Stroeer)</t>
        </is>
      </c>
      <c r="H48" s="16" t="inlineStr">
        <is>
          <t>Start-up bis Wachstum und Reife - formal Pre-Seed bis Growth</t>
        </is>
      </c>
      <c r="I48" s="18" t="inlineStr">
        <is>
          <t>n/a</t>
        </is>
      </c>
      <c r="J48" s="16" t="inlineStr">
        <is>
          <t>n/a</t>
        </is>
      </c>
      <c r="K48" s="16" t="inlineStr">
        <is>
          <t>n/a (Evergreen-Struktur; ca. 59 Beteiligungen historisch)</t>
        </is>
      </c>
      <c r="L48" s="18" t="inlineStr">
        <is>
          <t>Nein</t>
        </is>
      </c>
      <c r="M48" s="16" t="inlineStr">
        <is>
          <t>Branchenagnostisch mit Schwerpunkt Medien, Telekommunikation, IT und E-Commerce in Europa/Deutschland. Seit 2016 zusaetzlich Immobilienprojekte.</t>
        </is>
      </c>
      <c r="N48" s="16" t="inlineStr">
        <is>
          <t>Kein belegtes AI-/Data-Infra-Investment auffindbar.</t>
        </is>
      </c>
      <c r="O48" s="16" t="inlineStr">
        <is>
          <t>Gering - Medien- und Commerce-Fokus ohne technische Infrastrukturthese.</t>
        </is>
      </c>
      <c r="P48" s="16" t="inlineStr">
        <is>
          <t>Data-Infra-nah</t>
        </is>
      </c>
      <c r="Q48" s="16" t="inlineStr">
        <is>
          <t>Dirk Stroeer / Stefan Petter</t>
        </is>
      </c>
      <c r="R48" s="16" t="inlineStr">
        <is>
          <t>Geschaeftsfuehrer der Media Ventures GmbH</t>
        </is>
      </c>
      <c r="S48" s="16" t="inlineStr">
        <is>
          <t>n/a</t>
        </is>
      </c>
      <c r="T48" s="16" t="inlineStr">
        <is>
          <t>Kontakt ueber mediaventures.de (Impressum); E-Mail n/a</t>
        </is>
      </c>
      <c r="U48" s="16" t="inlineStr">
        <is>
          <t>Deutscher Evergreen-Investor mit breiter Stage-Spanne, aber Medien-/E-Commerce-Schwerpunkt, teils Immobiliengeschaeft und keinerlei belegte AI- oder Data-Infra-Aktivitaet.</t>
        </is>
      </c>
      <c r="V48" s="16" t="inlineStr">
        <is>
          <t>Sehr intransparent (keine Angaben zu Ticket, Volumen, aktueller Aktivitaet); juengste oeffentliche Portfoliodaten stammen aus 2017; Diversifikation in Immobilien.</t>
        </is>
      </c>
      <c r="W48" s="16" t="inlineStr">
        <is>
          <t>Nur ueber einen Medien-Use-Case: Annotation und Qualitaetssicherung von Content-, Bild- und Werbedaten fuer Medien- und AdTech-Unternehmen im Stroeer-Umfeld.</t>
        </is>
      </c>
      <c r="X48" s="18" t="n">
        <v>20</v>
      </c>
      <c r="Y48" s="18" t="n">
        <v>8</v>
      </c>
      <c r="Z48" s="18" t="n">
        <v>4</v>
      </c>
      <c r="AA48" s="18" t="n">
        <v>4</v>
      </c>
      <c r="AB48" s="18" t="n">
        <v>9</v>
      </c>
      <c r="AC48" s="15" t="inlineStr">
        <is>
          <t>Niedrig</t>
        </is>
      </c>
      <c r="AD48" s="15" t="inlineStr">
        <is>
          <t>Bestandsliste</t>
        </is>
      </c>
      <c r="AE48" s="16" t="inlineStr">
        <is>
          <t>https://mediaventures.de/</t>
        </is>
      </c>
      <c r="AF48" s="16" t="inlineStr">
        <is>
          <t>https://mediaventures.de/, https://mediaventures.de/index.php/imprint.html, https://www.crunchbase.com/organization/media-ventures, https://www.startbase.com/organization/media-ventures/</t>
        </is>
      </c>
    </row>
    <row r="49">
      <c r="A49" s="24" t="n">
        <v>45</v>
      </c>
      <c r="B49" s="25" t="inlineStr">
        <is>
          <t>Round2 Capital</t>
        </is>
      </c>
      <c r="C49" s="26" t="inlineStr">
        <is>
          <t>C</t>
        </is>
      </c>
      <c r="D49" s="26" t="n">
        <v>45</v>
      </c>
      <c r="E49" s="18" t="inlineStr">
        <is>
          <t>Wien</t>
        </is>
      </c>
      <c r="F49" s="15" t="inlineStr">
        <is>
          <t>Oesterreich</t>
        </is>
      </c>
      <c r="G49" s="15" t="inlineStr">
        <is>
          <t>Revenue-Based-Financing / Growth-Debt-Anbieter (kein klassischer Equity-VC)</t>
        </is>
      </c>
      <c r="H49" s="16" t="inlineStr">
        <is>
          <t>Wachstumsphase - Softwareunternehmen mit wiederkehrenden Umsaetzen (kein Pre-Seed/Seed)</t>
        </is>
      </c>
      <c r="I49" s="15" t="inlineStr">
        <is>
          <t>Teilweise (fuehrt eigene Finanzierungen an, z.B. USD 20 Mio. in EvoluteIQ - aber als nicht-verwaessernde Finanzierung, nicht als Equity-Lead)</t>
        </is>
      </c>
      <c r="J49" s="16" t="inlineStr">
        <is>
          <t>Sieben-stellige EUR-Betraege pro Transaktion (Beispiele: 7-stellig bei PreciTaste, Friendsurance, Nect; bis USD 20 Mio. bei EvoluteIQ)</t>
        </is>
      </c>
      <c r="K49" s="16" t="inlineStr">
        <is>
          <t>n/a (nicht ausgewiesen); ueber 30 Portfoliounternehmen europaweit, gegruendet 2017</t>
        </is>
      </c>
      <c r="L49" s="15" t="inlineStr">
        <is>
          <t>Teilweise</t>
        </is>
      </c>
      <c r="M49" s="16" t="inlineStr">
        <is>
          <t>Europas fuehrender Anbieter von Revenue-Based Financing mit Royalties fuer Softwareunternehmen mit wiederkehrenden Umsaetzen - 'Grow, on your terms', ohne Verwaesserung.</t>
        </is>
      </c>
      <c r="N49" s="16" t="inlineStr">
        <is>
          <t>EvoluteIQ (AI-gestuetzte Prozessautomatisierung), PreciTaste (AI-Kuechenmanagement/Computer Vision), Nect (AI-Identitaetsverifikation), Testbirds (Crowdtesting - Human-in-the-loop-Modell!), Phyron (AI-Video), Avallain</t>
        </is>
      </c>
      <c r="O49" s="16" t="inlineStr">
        <is>
          <t>Mittel: Testbirds zeigt Verstaendnis fuer Crowd-/Human-in-the-loop-Geschaeftsmodelle, und mehrere AI-Companies im Buch - aber das Produkt (RBF) setzt bestehende wiederkehrende Umsaetze voraus.</t>
        </is>
      </c>
      <c r="P49" s="16" t="inlineStr">
        <is>
          <t>-</t>
        </is>
      </c>
      <c r="Q49" s="16" t="inlineStr">
        <is>
          <t>Jan Hillered</t>
        </is>
      </c>
      <c r="R49" s="16" t="inlineStr">
        <is>
          <t>Founder &amp; Managing Partner (weitere Managing Partners: Heinz Marx, Stefan Nagel, Isabella Hermann-Schoen, Gerd Sumah)</t>
        </is>
      </c>
      <c r="S49" s="16" t="inlineStr">
        <is>
          <t>n/a</t>
        </is>
      </c>
      <c r="T49" s="16" t="inlineStr">
        <is>
          <t>'Funding inquiry'-Formular auf https://round2cap.com, Kontaktseite https://round2cap.com/contact</t>
        </is>
      </c>
      <c r="U49" s="16" t="inlineStr">
        <is>
          <t>Round2 ist kein Equity-VC, sondern Revenue-Based-Financing fuer Softwarefirmen mit bestehenden wiederkehrenden Umsaetzen - fuer die von PathWize gesuchte Pre-Seed-/Seed-/Series-A-Eigenkapitalrunde ungeeignet.</t>
        </is>
      </c>
      <c r="V49" s="16" t="inlineStr">
        <is>
          <t>KO-Kriterium Stage/Instrument: kein Eigenkapital, Voraussetzung sind belastbare wiederkehrende Umsaetze (typisch ab ca. EUR 1 Mio. ARR); Royalty-Struktur belastet den Cashflow.</t>
        </is>
      </c>
      <c r="W49" s="16" t="inlineStr">
        <is>
          <t>Erst spaeter relevant: sobald PathWize wiederkehrende Labeling-/Plattformumsaetze hat, als verwaesserungsfreie Wachstumsfinanzierung neben der Equity-Runde ansprechen (Referenz: Testbirds als Human-in-the-loop-Case).</t>
        </is>
      </c>
      <c r="X49" s="18" t="n">
        <v>3</v>
      </c>
      <c r="Y49" s="18" t="n">
        <v>15</v>
      </c>
      <c r="Z49" s="18" t="n">
        <v>10</v>
      </c>
      <c r="AA49" s="18" t="n">
        <v>8</v>
      </c>
      <c r="AB49" s="18" t="n">
        <v>9</v>
      </c>
      <c r="AC49" s="18" t="inlineStr">
        <is>
          <t>Hoch</t>
        </is>
      </c>
      <c r="AD49" s="15" t="inlineStr">
        <is>
          <t>Bestandsliste</t>
        </is>
      </c>
      <c r="AE49" s="16" t="inlineStr">
        <is>
          <t>https://round2cap.com</t>
        </is>
      </c>
      <c r="AF49" s="16" t="inlineStr">
        <is>
          <t>https://round2cap.com/, https://round2cap.com/about/</t>
        </is>
      </c>
    </row>
    <row r="50">
      <c r="A50" s="24" t="n">
        <v>46</v>
      </c>
      <c r="B50" s="25" t="inlineStr">
        <is>
          <t>Saarländische Wagnisfinanzierungsgesellschaft mbH (SWG)</t>
        </is>
      </c>
      <c r="C50" s="26" t="inlineStr">
        <is>
          <t>C</t>
        </is>
      </c>
      <c r="D50" s="26" t="n">
        <v>45</v>
      </c>
      <c r="E50" s="15" t="inlineStr">
        <is>
          <t>Saarbrücken</t>
        </is>
      </c>
      <c r="F50" s="15" t="inlineStr">
        <is>
          <t>Deutschland</t>
        </is>
      </c>
      <c r="G50" s="15" t="inlineStr">
        <is>
          <t>Public VC / öffentliche Beteiligungsgesellschaft (seit 1997)</t>
        </is>
      </c>
      <c r="H50" s="16" t="inlineStr">
        <is>
          <t>Frühphase, Gründungs- und Startup-Finanzierung mit Langfristorientierung über mehrere Runden</t>
        </is>
      </c>
      <c r="I50" s="15" t="inlineStr">
        <is>
          <t>Teilweise — offen für Co-Investments mit anderen Investoren</t>
        </is>
      </c>
      <c r="J50" s="16" t="inlineStr">
        <is>
          <t>bis zu 2 Mio. EUR pro Beteiligung</t>
        </is>
      </c>
      <c r="K50" s="16" t="inlineStr">
        <is>
          <t>n/a</t>
        </is>
      </c>
      <c r="L50" s="18" t="inlineStr">
        <is>
          <t>Nein</t>
        </is>
      </c>
      <c r="M50" s="16" t="inlineStr">
        <is>
          <t>Junge, innovative Technologieunternehmen mit ausgeprägtem Alleinstellungsmerkmal, insbesondere Hochschul-Spin-offs; Ziel ist die Stärkung der Wettbewerbsfähigkeit des Saarlands</t>
        </is>
      </c>
      <c r="N50" s="16" t="inlineStr">
        <is>
          <t>Kein explizites AI-/Data-Infra-Investment; 15+ aktive Beteiligungen, u.a. DC Smarter, Xpect AG, DELFA Systems, Effinigo (Energiesysteme, Testautomatisierung, Software)</t>
        </is>
      </c>
      <c r="O50" s="16" t="inlineStr">
        <is>
          <t>Gering — allgemeine Technologieorientierung ohne AI-Schwerpunkt; interessant wäre allenfalls die Nähe zum DFKI und zur Universität des Saarlandes als AI-Forschungsstandort</t>
        </is>
      </c>
      <c r="P50" s="16" t="inlineStr">
        <is>
          <t>Data-Infra-nah</t>
        </is>
      </c>
      <c r="Q50" s="16" t="inlineStr">
        <is>
          <t>Michael Schmidt</t>
        </is>
      </c>
      <c r="R50" s="16" t="inlineStr">
        <is>
          <t>Geschäftsführer und Mitgründer (gemeinsam mit Doris Woll); Investment Manager: Madeleine Adam, Marco Mathieu, Thorsten Warken, Andreas Wehr</t>
        </is>
      </c>
      <c r="S50" s="16" t="inlineStr">
        <is>
          <t>n/a</t>
        </is>
      </c>
      <c r="T50" s="16" t="inlineStr">
        <is>
          <t>Kontakt über swgmbh.de</t>
        </is>
      </c>
      <c r="U50" s="16" t="inlineStr">
        <is>
          <t>Frühphasenfokus und Tickets bis 2 Mio. EUR wären passend, aber die SWG investiert ausdrücklich nur in im Saarland ansässige Unternehmen — ohne Standort dort ist PathWize schlicht nicht förderfähig.</t>
        </is>
      </c>
      <c r="V50" s="16" t="inlineStr">
        <is>
          <t>Harte regionale Beschränkung auf das Saarland als K.-o.-Kriterium; öffentlicher Investor mit entsprechenden Auflagen und langsameren Prozessen; kein AI-Schwerpunkt; kein Fondsvolumen publiziert</t>
        </is>
      </c>
      <c r="W50" s="16" t="inlineStr">
        <is>
          <t>Nur relevant, falls PathWize einen Standort im Saarland aufbaut — dann über die DFKI-/Uni-Saarland-Nähe als AI-Forschungsstandort einsteigen; sonst nicht verfolgen.</t>
        </is>
      </c>
      <c r="X50" s="18" t="n">
        <v>24</v>
      </c>
      <c r="Y50" s="18" t="n">
        <v>8</v>
      </c>
      <c r="Z50" s="18" t="n">
        <v>4</v>
      </c>
      <c r="AA50" s="18" t="n">
        <v>6</v>
      </c>
      <c r="AB50" s="18" t="n">
        <v>3</v>
      </c>
      <c r="AC50" s="15" t="inlineStr">
        <is>
          <t>Mittel</t>
        </is>
      </c>
      <c r="AD50" s="15" t="inlineStr">
        <is>
          <t>Bestandsliste</t>
        </is>
      </c>
      <c r="AE50" s="16" t="inlineStr">
        <is>
          <t>https://swgmbh.de/</t>
        </is>
      </c>
      <c r="AF50" s="16" t="inlineStr">
        <is>
          <t>https://swgmbh.de/</t>
        </is>
      </c>
    </row>
    <row r="51">
      <c r="A51" s="24" t="n">
        <v>47</v>
      </c>
      <c r="B51" s="25" t="inlineStr">
        <is>
          <t>allygatr</t>
        </is>
      </c>
      <c r="C51" s="26" t="inlineStr">
        <is>
          <t>C</t>
        </is>
      </c>
      <c r="D51" s="26" t="n">
        <v>44</v>
      </c>
      <c r="E51" s="15" t="inlineStr">
        <is>
          <t>Berlin</t>
        </is>
      </c>
      <c r="F51" s="15" t="inlineStr">
        <is>
          <t>Deutschland</t>
        </is>
      </c>
      <c r="G51" s="15" t="inlineStr">
        <is>
          <t>Venture Builder / Operator-VC</t>
        </is>
      </c>
      <c r="H51" s="16" t="inlineStr">
        <is>
          <t>Pre-Seed &amp; Seed (haeufig Company-Building statt klassischem Investment)</t>
        </is>
      </c>
      <c r="I51" s="15" t="inlineStr">
        <is>
          <t>Teilweise; Modell ist eher Build-Operate-Transfer und operative Beteiligung als klassische Lead-Runde</t>
        </is>
      </c>
      <c r="J51" s="16" t="inlineStr">
        <is>
          <t>sechsstellige Betraege (genaue Spanne n/a)</t>
        </is>
      </c>
      <c r="K51" s="16" t="inlineStr">
        <is>
          <t>n/a</t>
        </is>
      </c>
      <c r="L51" s="18" t="inlineStr">
        <is>
          <t>Nein</t>
        </is>
      </c>
      <c r="M51" s="16" t="inlineStr">
        <is>
          <t>Ausschliesslich Future of Work und HR-Technologie; dreiseitige Plattform aus Gruendern, Corporates und Investoren; 'Operators first, investors second'; gegruendet 2012</t>
        </is>
      </c>
      <c r="N51" s="16" t="inlineStr">
        <is>
          <t>ca. 10 direkte Investments, insgesamt 37 Transaktionen, u.a. Talent2Go; keine AI-Infrastruktur- oder Data-Investments belegbar</t>
        </is>
      </c>
      <c r="O51" s="16" t="inlineStr">
        <is>
          <t>Niedrig - kein Bezug zu ML-Trainingsdaten; AI hoechstens als Feature in HR-Software</t>
        </is>
      </c>
      <c r="P51" s="16" t="inlineStr">
        <is>
          <t>-</t>
        </is>
      </c>
      <c r="Q51" s="16" t="inlineStr">
        <is>
          <t>Benjamin Visser</t>
        </is>
      </c>
      <c r="R51" s="16" t="inlineStr">
        <is>
          <t>Founder &amp; CEO</t>
        </is>
      </c>
      <c r="S51" s="16" t="inlineStr">
        <is>
          <t>https://de.linkedin.com/in/benjaminvisser</t>
        </is>
      </c>
      <c r="T51" s="16" t="inlineStr">
        <is>
          <t>Pitch-Formular unter https://allygatr.com/founders bzw. https://allygatr-pitch-intake.zapier.app; Kontaktseite https://allygatr.com/contact</t>
        </is>
      </c>
      <c r="U51" s="16" t="inlineStr">
        <is>
          <t>Berliner Fruehphasen-Adresse mit passender Stage, aber ein reines HR-Tech-/Future-of-Work-Mandat und ein Venture-Builder-Modell, das operative Kontrolle statt Finanzbeteiligung sucht. Fuer eine Data-Infrastruktur-Company kein sinnvoller Kapitalgeber.</t>
        </is>
      </c>
      <c r="V51" s="16" t="inlineStr">
        <is>
          <t>Enger HR-Tech-Sektorfokus; Venture-Builder-Logik mit hohem operativem Eingriff; kleine sechsstellige Tickets; Fondsgroesse und Dry Powder intransparent</t>
        </is>
      </c>
      <c r="W51" s="16" t="inlineStr">
        <is>
          <t>Nur als Kunden-/Partnerkanal relevant: PathWize koennte den HR-Tech-Portfolio-Companies annotierte Trainingsdaten fuer Matching- und Screening-Modelle liefern - Investment-Fit besteht praktisch nicht.</t>
        </is>
      </c>
      <c r="X51" s="18" t="n">
        <v>20</v>
      </c>
      <c r="Y51" s="18" t="n">
        <v>6</v>
      </c>
      <c r="Z51" s="18" t="n">
        <v>3</v>
      </c>
      <c r="AA51" s="18" t="n">
        <v>5</v>
      </c>
      <c r="AB51" s="18" t="n">
        <v>10</v>
      </c>
      <c r="AC51" s="15" t="inlineStr">
        <is>
          <t>Mittel</t>
        </is>
      </c>
      <c r="AD51" s="15" t="inlineStr">
        <is>
          <t>Bestandsliste</t>
        </is>
      </c>
      <c r="AE51" s="16" t="inlineStr">
        <is>
          <t>https://www.allygatr.com/</t>
        </is>
      </c>
      <c r="AF51" s="16" t="inlineStr">
        <is>
          <t>https://www.allygatr.com/, https://allygatr.com/founders, https://www.startbase.com/organization/allygatr/, https://tracxn.com/d/venture-capital/allygatr/__r_RMW8vk646am30GFgMC58_7vyLSbSQqGolGIFyqqPI</t>
        </is>
      </c>
    </row>
    <row r="52">
      <c r="A52" s="24" t="n">
        <v>48</v>
      </c>
      <c r="B52" s="25" t="inlineStr">
        <is>
          <t>Isartal Ventures</t>
        </is>
      </c>
      <c r="C52" s="26" t="inlineStr">
        <is>
          <t>C</t>
        </is>
      </c>
      <c r="D52" s="26" t="n">
        <v>44</v>
      </c>
      <c r="E52" s="15" t="inlineStr">
        <is>
          <t>Muenchen</t>
        </is>
      </c>
      <c r="F52" s="15" t="inlineStr">
        <is>
          <t>Deutschland</t>
        </is>
      </c>
      <c r="G52" s="15" t="inlineStr">
        <is>
          <t>Corporate VC (Wort &amp; Bild Verlag)</t>
        </is>
      </c>
      <c r="H52" s="16" t="inlineStr">
        <is>
          <t>Seed, Series A, Series B (frueher Angaben auch Pre-Seed)</t>
        </is>
      </c>
      <c r="I52" s="15" t="inlineStr">
        <is>
          <t>Selten Lead, ueberwiegend strategischer Co-Investor</t>
        </is>
      </c>
      <c r="J52" s="16" t="inlineStr">
        <is>
          <t>n/a</t>
        </is>
      </c>
      <c r="K52" s="16" t="inlineStr">
        <is>
          <t>n/a (Bilanzinvestments des Wort &amp; Bild Verlags)</t>
        </is>
      </c>
      <c r="L52" s="18" t="inlineStr">
        <is>
          <t>Nein</t>
        </is>
      </c>
      <c r="M52" s="16" t="inlineStr">
        <is>
          <t>Digital Health und E-Health im DACH-Raum, speziell Geschaeftsmodelle, die Apotheken und den Gesundheitsmarkt staerken. Langfristige, werteorientierte Beteiligungsstrategie.</t>
        </is>
      </c>
      <c r="N52" s="16" t="inlineStr">
        <is>
          <t>Kein belegtes AI-/Data-Infra-Investment; Portfolio umfasst rund 6 Digital-Health-Unternehmen.</t>
        </is>
      </c>
      <c r="O52" s="16" t="inlineStr">
        <is>
          <t>Sehr gering - reiner Health-/Apotheken-Fokus ohne Infrastrukturthese.</t>
        </is>
      </c>
      <c r="P52" s="16" t="inlineStr">
        <is>
          <t>Data-Infra-nah</t>
        </is>
      </c>
      <c r="Q52" s="16" t="inlineStr">
        <is>
          <t>n/a</t>
        </is>
      </c>
      <c r="R52" s="16" t="inlineStr">
        <is>
          <t>n/a</t>
        </is>
      </c>
      <c r="S52" s="16" t="inlineStr">
        <is>
          <t>n/a</t>
        </is>
      </c>
      <c r="T52" s="16" t="inlineStr">
        <is>
          <t>Kontaktformular auf isartal-ventures.de</t>
        </is>
      </c>
      <c r="U52" s="16" t="inlineStr">
        <is>
          <t>Fruehphasenfokus und DACH-Geografie passen, aber Isartal ist ein enger Digital-Health-/Apotheken-CVC mit nur sechs Beteiligungen und ohne jeglichen Data-Infra-Bezug.</t>
        </is>
      </c>
      <c r="V52" s="16" t="inlineStr">
        <is>
          <t>Sehr enger strategischer Sektorfilter; sehr kleines Portfolio und geringe Aktivitaet; keine transparente Fondsgroesse oder Ticketspanne.</t>
        </is>
      </c>
      <c r="W52" s="16" t="inlineStr">
        <is>
          <t>Nur mit einem klaren Health-Use-Case sinnvoll: Annotation medizinischer Bild- und Textdaten fuer regulierte Gesundheitsanwendungen im DACH-Raum.</t>
        </is>
      </c>
      <c r="X52" s="18" t="n">
        <v>24</v>
      </c>
      <c r="Y52" s="18" t="n">
        <v>3</v>
      </c>
      <c r="Z52" s="18" t="n">
        <v>2</v>
      </c>
      <c r="AA52" s="18" t="n">
        <v>5</v>
      </c>
      <c r="AB52" s="18" t="n">
        <v>10</v>
      </c>
      <c r="AC52" s="15" t="inlineStr">
        <is>
          <t>Mittel</t>
        </is>
      </c>
      <c r="AD52" s="15" t="inlineStr">
        <is>
          <t>Bestandsliste</t>
        </is>
      </c>
      <c r="AE52" s="16" t="inlineStr">
        <is>
          <t>https://www.isartal-ventures.de/</t>
        </is>
      </c>
      <c r="AF52" s="16" t="inlineStr">
        <is>
          <t>https://www.isartal-ventures.de/, https://www.eu-startups.com/investor/isartal-ventures/, https://tracxn.com/d/venture-capital/isartal-ventures/__sTSb7PuwobVwQk9GFaxgXolY3Qhgdgy9GwA1fEMxyd8, https://caplink.capital/investor-database/isartal-ventures-gmbh-co-kg</t>
        </is>
      </c>
    </row>
    <row r="53">
      <c r="A53" s="24" t="n">
        <v>49</v>
      </c>
      <c r="B53" s="25" t="inlineStr">
        <is>
          <t>Muzungu GmbH (Muzungu Capital)</t>
        </is>
      </c>
      <c r="C53" s="26" t="inlineStr">
        <is>
          <t>C</t>
        </is>
      </c>
      <c r="D53" s="26" t="n">
        <v>44</v>
      </c>
      <c r="E53" s="15" t="inlineStr">
        <is>
          <t>München</t>
        </is>
      </c>
      <c r="F53" s="15" t="inlineStr">
        <is>
          <t>Deutschland</t>
        </is>
      </c>
      <c r="G53" s="15" t="inlineStr">
        <is>
          <t>VC / Unternehmer-getriebenes Investmentvehikel</t>
        </is>
      </c>
      <c r="H53" s="16" t="inlineStr">
        <is>
          <t>Early Stage (Pre-Seed, Seed)</t>
        </is>
      </c>
      <c r="I53" s="15" t="inlineStr">
        <is>
          <t>Teilweise — hands-on Beteiligungen, Lead-Funktion nicht explizit ausgewiesen</t>
        </is>
      </c>
      <c r="J53" s="16" t="inlineStr">
        <is>
          <t>250.000 - 2 Mio. EUR</t>
        </is>
      </c>
      <c r="K53" s="16" t="inlineStr">
        <is>
          <t>n/a</t>
        </is>
      </c>
      <c r="L53" s="18" t="inlineStr">
        <is>
          <t>Nein</t>
        </is>
      </c>
      <c r="M53" s="16" t="inlineStr">
        <is>
          <t>Ausschliesslich Digital-Industrien mit eigener Expertise: Digital Marketing, Online Advertising, Ad Technologies, Social Media, Content Marketing; explizit keine Copycats</t>
        </is>
      </c>
      <c r="N53" s="16" t="inlineStr">
        <is>
          <t>Kein AI-/Data-Infra-Investment belegt; Portfolio: Deutsche Teilkauf, VillaCircle, Hivegeist, Enmacc, Exactag (Marketing-Attribution/Daten), Nano Interactive (kontextuelles Advertising)</t>
        </is>
      </c>
      <c r="O53" s="16" t="inlineStr">
        <is>
          <t>Gering — Exactag und Nano Interactive arbeiten datengetrieben, aber im AdTech-Kontext, nicht mit ML-Trainingsdaten oder Human-in-the-loop-Annotation</t>
        </is>
      </c>
      <c r="P53" s="16" t="inlineStr">
        <is>
          <t>Data-Infra-nah</t>
        </is>
      </c>
      <c r="Q53" s="16" t="inlineStr">
        <is>
          <t>Ronald Paul</t>
        </is>
      </c>
      <c r="R53" s="16" t="inlineStr">
        <is>
          <t>Founder &amp; CEO (zuvor Aufbau und Exit einer Digitalagentur mit 400 Mitarbeitenden in 16 Ländern)</t>
        </is>
      </c>
      <c r="S53" s="16" t="inlineStr">
        <is>
          <t>n/a</t>
        </is>
      </c>
      <c r="T53" s="16" t="inlineStr">
        <is>
          <t>info@muzungu-capital.com; Rheinlandstraße 5, München; Telefon +49 174 3333150</t>
        </is>
      </c>
      <c r="U53" s="16" t="inlineStr">
        <is>
          <t>Ticketgröße und Pre-Seed/Seed-Stage passen formal gut, aber Muzungu investiert nach eigener Aussage nur dort, wo es selbst Experte ist — und das ist Digital Marketing/AdTech, nicht AI-Infrastruktur.</t>
        </is>
      </c>
      <c r="V53" s="16" t="inlineStr">
        <is>
          <t>Selbstauferlegte Sektorbeschränkung schliesst Deep-Tech/Data-Infra faktisch aus; keine Fondsgröße publiziert (mutmaßlich Family-Office-Struktur ohne institutionelles LP-Kapital); keine belegten Neuinvestments in jüngerer Zeit</t>
        </is>
      </c>
      <c r="W53" s="16" t="inlineStr">
        <is>
          <t>Nur mit Go-to-Market-Winkel ansprechen: PathWize als datengetriebenes B2B-Modell mit Marketing-/Vertriebsskalierung, bei dem Ronald Pauls Agentur-Netzwerk Kundenzugang öffnet — der Tech-Fit ist schwach.</t>
        </is>
      </c>
      <c r="X53" s="18" t="n">
        <v>22</v>
      </c>
      <c r="Y53" s="18" t="n">
        <v>6</v>
      </c>
      <c r="Z53" s="18" t="n">
        <v>3</v>
      </c>
      <c r="AA53" s="18" t="n">
        <v>4</v>
      </c>
      <c r="AB53" s="18" t="n">
        <v>9</v>
      </c>
      <c r="AC53" s="15" t="inlineStr">
        <is>
          <t>Mittel</t>
        </is>
      </c>
      <c r="AD53" s="15" t="inlineStr">
        <is>
          <t>Bestandsliste</t>
        </is>
      </c>
      <c r="AE53" s="16" t="inlineStr">
        <is>
          <t>https://muzungu-capital.com/</t>
        </is>
      </c>
      <c r="AF53" s="16" t="inlineStr">
        <is>
          <t>https://muzungu-capital.com/</t>
        </is>
      </c>
    </row>
    <row r="54">
      <c r="A54" s="24" t="n">
        <v>50</v>
      </c>
      <c r="B54" s="25" t="inlineStr">
        <is>
          <t>Summiteer GmbH</t>
        </is>
      </c>
      <c r="C54" s="26" t="inlineStr">
        <is>
          <t>C</t>
        </is>
      </c>
      <c r="D54" s="26" t="n">
        <v>44</v>
      </c>
      <c r="E54" s="15" t="inlineStr">
        <is>
          <t>Sueddeutschland (konkrete Stadt nicht oeffentlich ausgewiesen)</t>
        </is>
      </c>
      <c r="F54" s="18" t="inlineStr">
        <is>
          <t>DE</t>
        </is>
      </c>
      <c r="G54" s="15" t="inlineStr">
        <is>
          <t>Family Office / Beteiligungsgesellschaft (VC und Private Equity)</t>
        </is>
      </c>
      <c r="H54" s="16" t="inlineStr">
        <is>
          <t>Seed bis Growth</t>
        </is>
      </c>
      <c r="I54" s="15" t="inlineStr">
        <is>
          <t>Teilweise (langfristiger Kapitalgeber, auch Mehrheits- und Minderheitsbeteiligungen)</t>
        </is>
      </c>
      <c r="J54" s="16" t="inlineStr">
        <is>
          <t>n/a</t>
        </is>
      </c>
      <c r="K54" s="16" t="inlineStr">
        <is>
          <t>n/a (Evergreen-Familienvermoegen, kein Fondsvolumen kommuniziert)</t>
        </is>
      </c>
      <c r="L54" s="15" t="inlineStr">
        <is>
          <t>Teilweise</t>
        </is>
      </c>
      <c r="M54" s="16" t="inlineStr">
        <is>
          <t>Sechs Sektoren mit Nachhaltigkeitsklammer: Consumer &amp; Retail, Energy &amp; Cleantech, Food &amp; Beverage, Industry &amp; Software (Digitalisierung, intelligente Softwareloesungen), Mobility &amp; Transportation, Sustainability Services</t>
        </is>
      </c>
      <c r="N54" s="16" t="inlineStr">
        <is>
          <t>n/a (keine belegten AI-/Data-Infrastruktur-Investments oeffentlich auffindbar; Software nur als Teilbereich 'Industry &amp; Software')</t>
        </is>
      </c>
      <c r="O54" s="16" t="inlineStr">
        <is>
          <t>Gering: Kein Bezug zu Trainingsdaten, MLOps oder Annotation erkennbar</t>
        </is>
      </c>
      <c r="P54" s="16" t="inlineStr">
        <is>
          <t>Data-Infra-nah</t>
        </is>
      </c>
      <c r="Q54" s="16" t="inlineStr">
        <is>
          <t>n/a</t>
        </is>
      </c>
      <c r="R54" s="16" t="inlineStr">
        <is>
          <t>n/a</t>
        </is>
      </c>
      <c r="S54" s="16" t="inlineStr">
        <is>
          <t>n/a</t>
        </is>
      </c>
      <c r="T54" s="16" t="inlineStr">
        <is>
          <t>info@summiteer.com; Investmentanfrage ueber https://www.summiteer.com/kontakt/</t>
        </is>
      </c>
      <c r="U54" s="16" t="inlineStr">
        <is>
          <t>Sueddeutsches Family Office mit breitem Nachhaltigkeitsfokus von Consumer bis Cleantech; Software ist nur einer von sechs Sektoren und AI oder Data-Infrastruktur werden nirgends adressiert.</t>
        </is>
      </c>
      <c r="V54" s="16" t="inlineStr">
        <is>
          <t>Keine Ticketgroesse, kein Fondsvolumen, kein benanntes Investment-Team, kein Tech-Track-Record; PE-artiger Fokus auf 'bewaehrte, nachhaltige Geschaeftsmodelle' passt schlecht zu einem Pre-Seed-AI-Startup</t>
        </is>
      </c>
      <c r="W54" s="16" t="inlineStr">
        <is>
          <t>Nur opportunistisch anschreiben und PathWize unter 'Industry &amp; Software' als Enabler der industriellen Digitalisierung mit langfristigem, cashflow-orientiertem Servicemodell rahmen.</t>
        </is>
      </c>
      <c r="X54" s="18" t="n">
        <v>18</v>
      </c>
      <c r="Y54" s="18" t="n">
        <v>8</v>
      </c>
      <c r="Z54" s="18" t="n">
        <v>3</v>
      </c>
      <c r="AA54" s="18" t="n">
        <v>5</v>
      </c>
      <c r="AB54" s="18" t="n">
        <v>10</v>
      </c>
      <c r="AC54" s="15" t="inlineStr">
        <is>
          <t>Niedrig</t>
        </is>
      </c>
      <c r="AD54" s="15" t="inlineStr">
        <is>
          <t>Bestandsliste</t>
        </is>
      </c>
      <c r="AE54" s="16" t="inlineStr">
        <is>
          <t>https://www.summiteer.com/</t>
        </is>
      </c>
      <c r="AF54" s="16" t="inlineStr">
        <is>
          <t>https://www.summiteer.com/, https://www.summiteer.com/fokus/, https://www.summiteer.com/portfolio/, https://www.summiteer.com/kontakt/</t>
        </is>
      </c>
    </row>
    <row r="55">
      <c r="A55" s="24" t="n">
        <v>51</v>
      </c>
      <c r="B55" s="25" t="inlineStr">
        <is>
          <t>BLS Venture Capital</t>
        </is>
      </c>
      <c r="C55" s="26" t="inlineStr">
        <is>
          <t>C</t>
        </is>
      </c>
      <c r="D55" s="26" t="n">
        <v>43</v>
      </c>
      <c r="E55" s="15" t="inlineStr">
        <is>
          <t>Berlin</t>
        </is>
      </c>
      <c r="F55" s="18" t="inlineStr">
        <is>
          <t>DE</t>
        </is>
      </c>
      <c r="G55" s="15" t="inlineStr">
        <is>
          <t>Family Office / Micro-VC</t>
        </is>
      </c>
      <c r="H55" s="16" t="inlineStr">
        <is>
          <t>Seed, teils Begleitung bis Series A</t>
        </is>
      </c>
      <c r="I55" s="15" t="inlineStr">
        <is>
          <t>Nein (typischerweise Co-Investor/Business-Angel-Rolle)</t>
        </is>
      </c>
      <c r="J55" s="16" t="inlineStr">
        <is>
          <t>Sehr klein, laut Website Seed-Funding bis ca. 20 TEUR</t>
        </is>
      </c>
      <c r="K55" s="16" t="inlineStr">
        <is>
          <t>n/a</t>
        </is>
      </c>
      <c r="L55" s="18" t="inlineStr">
        <is>
          <t>Nein</t>
        </is>
      </c>
      <c r="M55" s="16" t="inlineStr">
        <is>
          <t>Skalierbare Technologien: IT/Software, Medizintechnik, Sensorik, Mikroelektronik, Automatisierung; Schwerpunkt Berlin-Brandenburg</t>
        </is>
      </c>
      <c r="N55" s="16" t="inlineStr">
        <is>
          <t>Keine belegten AI-/Data-Infra-Investments; historische Beteiligungen u.a. Saperion (Dokumentenmanagement), Epionics, Tandemploy</t>
        </is>
      </c>
      <c r="O55" s="16" t="inlineStr">
        <is>
          <t>Keine belegte Relevanz fuer Data Labeling oder Trainingsdaten</t>
        </is>
      </c>
      <c r="P55" s="16" t="inlineStr">
        <is>
          <t>Data-Infra-nah</t>
        </is>
      </c>
      <c r="Q55" s="16" t="inlineStr">
        <is>
          <t>Bernhard Boehm</t>
        </is>
      </c>
      <c r="R55" s="16" t="inlineStr">
        <is>
          <t>Geschaeftsfuehrer / Gruender</t>
        </is>
      </c>
      <c r="S55" s="16" t="inlineStr">
        <is>
          <t>n/a</t>
        </is>
      </c>
      <c r="T55" s="16" t="inlineStr">
        <is>
          <t>Kontakt ueber Website/Impressum bls-venture.de, Tel. +49 30 7901800</t>
        </is>
      </c>
      <c r="U55" s="16" t="inlineStr">
        <is>
          <t>Berliner Family Office mit Seed-Fokus und Tech-Affinitaet, aber ohne AI-/Data-These und mit Ticketgroessen im niedrigen fuenfstelligen Bereich, die eine Pre-Seed-Runde von PathWize nicht tragen.</t>
        </is>
      </c>
      <c r="V55" s="16" t="inlineStr">
        <is>
          <t>Extrem kleine Tickets (bis ca. 20 TEUR), sehr geringe oeffentlich sichtbare Investmentaktivitaet, veraltetes Portfolio, keine Fondsgroesse ausgewiesen</t>
        </is>
      </c>
      <c r="W55" s="16" t="inlineStr">
        <is>
          <t>Nur als kleiner Angel-/Beisteuer-Baustein in einer groesseren Pre-Seed-Runde ansprechen, mit Betonung des Berliner Deep-Tech-Netzwerks statt Leadfunktion.</t>
        </is>
      </c>
      <c r="X55" s="18" t="n">
        <v>18</v>
      </c>
      <c r="Y55" s="18" t="n">
        <v>10</v>
      </c>
      <c r="Z55" s="18" t="n">
        <v>3</v>
      </c>
      <c r="AA55" s="18" t="n">
        <v>2</v>
      </c>
      <c r="AB55" s="18" t="n">
        <v>10</v>
      </c>
      <c r="AC55" s="15" t="inlineStr">
        <is>
          <t>Mittel</t>
        </is>
      </c>
      <c r="AD55" s="15" t="inlineStr">
        <is>
          <t>Bestandsliste</t>
        </is>
      </c>
      <c r="AE55" s="16" t="inlineStr">
        <is>
          <t>https://www.bls-venture.de/</t>
        </is>
      </c>
      <c r="AF55" s="16" t="inlineStr">
        <is>
          <t>https://www.bls-venture.de/, https://www.crunchbase.com/organization/bls-venture-capital-gmbh, https://tracxn.com/d/venture-capital/bls-venture-capital</t>
        </is>
      </c>
    </row>
    <row r="56">
      <c r="A56" s="24" t="n">
        <v>52</v>
      </c>
      <c r="B56" s="25" t="inlineStr">
        <is>
          <t>CommerzVentures</t>
        </is>
      </c>
      <c r="C56" s="26" t="inlineStr">
        <is>
          <t>C</t>
        </is>
      </c>
      <c r="D56" s="26" t="n">
        <v>43</v>
      </c>
      <c r="E56" s="15" t="inlineStr">
        <is>
          <t>Frankfurt am Main</t>
        </is>
      </c>
      <c r="F56" s="18" t="inlineStr">
        <is>
          <t>DE</t>
        </is>
      </c>
      <c r="G56" s="15" t="inlineStr">
        <is>
          <t>Corporate VC</t>
        </is>
      </c>
      <c r="H56" s="16" t="inlineStr">
        <is>
          <t>Series A bis Series C</t>
        </is>
      </c>
      <c r="I56" s="15" t="inlineStr">
        <is>
          <t>Ja, fuehrt Series-A- und -B-Runden an</t>
        </is>
      </c>
      <c r="J56" s="16" t="inlineStr">
        <is>
          <t>2 - 10 Mio. EUR</t>
        </is>
      </c>
      <c r="K56" s="16" t="inlineStr">
        <is>
          <t>ca. 550 Mio. EUR ueber drei Fonds; Fonds III mit 300 Mio. EUR</t>
        </is>
      </c>
      <c r="L56" s="15" t="inlineStr">
        <is>
          <t>Teilweise</t>
        </is>
      </c>
      <c r="M56" s="16" t="inlineStr">
        <is>
          <t>Fintech, Insurtech und Climate Fintech in Europa und Israel; stark researchgetriebene Thesenarbeit inkl. Publikationen zu Digital Assets und Agentic AI</t>
        </is>
      </c>
      <c r="N56" s="16" t="inlineStr">
        <is>
          <t>AI-Thesen und -Beteiligungen ausschliesslich im Finanzdienstleistungskontext; keine horizontalen Data-Infrastruktur-Investments belegt</t>
        </is>
      </c>
      <c r="O56" s="16" t="inlineStr">
        <is>
          <t>Keine belegte Relevanz ausserhalb von Finanzdatenanwendungen</t>
        </is>
      </c>
      <c r="P56" s="16" t="inlineStr">
        <is>
          <t>Data-Infra-nah</t>
        </is>
      </c>
      <c r="Q56" s="16" t="inlineStr">
        <is>
          <t>n/a</t>
        </is>
      </c>
      <c r="R56" s="16" t="inlineStr">
        <is>
          <t>n/a</t>
        </is>
      </c>
      <c r="S56" s="16" t="inlineStr">
        <is>
          <t>n/a</t>
        </is>
      </c>
      <c r="T56" s="16" t="inlineStr">
        <is>
          <t>Kontaktformular auf commerzventures.com</t>
        </is>
      </c>
      <c r="U56" s="16" t="inlineStr">
        <is>
          <t>Gut kapitalisierter Frankfurter Fonds mit ernsthafter Agentic-AI-Thesenarbeit, aber ausschliesslich Fintech- und Insurtech-Mandat und Einstieg erst ab Series A/B.</t>
        </is>
      </c>
      <c r="V56" s="16" t="inlineStr">
        <is>
          <t>Kein Pre-Seed/Seed; sehr enges Sektormandat; kleines Team mit hoher Selektivitaet</t>
        </is>
      </c>
      <c r="W56" s="16" t="inlineStr">
        <is>
          <t>Erst ab Series A und nur mit einer Finanzdienstleistungs-Vertikale ansprechen, etwa annotierte Trainingsdaten fuer Compliance-, KYC- und Schadenpruefungsmodelle.</t>
        </is>
      </c>
      <c r="X56" s="18" t="n">
        <v>12</v>
      </c>
      <c r="Y56" s="18" t="n">
        <v>8</v>
      </c>
      <c r="Z56" s="18" t="n">
        <v>5</v>
      </c>
      <c r="AA56" s="18" t="n">
        <v>8</v>
      </c>
      <c r="AB56" s="18" t="n">
        <v>10</v>
      </c>
      <c r="AC56" s="18" t="inlineStr">
        <is>
          <t>Hoch</t>
        </is>
      </c>
      <c r="AD56" s="15" t="inlineStr">
        <is>
          <t>Bestandsliste</t>
        </is>
      </c>
      <c r="AE56" s="16" t="inlineStr">
        <is>
          <t>https://commerzventures.com/</t>
        </is>
      </c>
      <c r="AF56" s="16" t="inlineStr">
        <is>
          <t>https://commerzventures.com/, https://www.eu-startups.com/2022/03/commerzventures-closes-e300-million-fund-to-boost-european-fintech-and-insurtech-startups/, https://tracxn.com/d/venture-capital/commerzventures</t>
        </is>
      </c>
    </row>
    <row r="57">
      <c r="A57" s="24" t="n">
        <v>53</v>
      </c>
      <c r="B57" s="25" t="inlineStr">
        <is>
          <t>Yttrium</t>
        </is>
      </c>
      <c r="C57" s="26" t="inlineStr">
        <is>
          <t>C</t>
        </is>
      </c>
      <c r="D57" s="26" t="n">
        <v>43</v>
      </c>
      <c r="E57" s="15" t="inlineStr">
        <is>
          <t>Frankfurt (Büros München, London)</t>
        </is>
      </c>
      <c r="F57" s="15" t="inlineStr">
        <is>
          <t>Deutschland</t>
        </is>
      </c>
      <c r="G57" s="15" t="inlineStr">
        <is>
          <t>Growth Equity</t>
        </is>
      </c>
      <c r="H57" s="16" t="inlineStr">
        <is>
          <t>Growth / Series B+ (skalierende B2B-Tech-Unternehmen)</t>
        </is>
      </c>
      <c r="I57" s="15" t="inlineStr">
        <is>
          <t>Ja (führt Growth-Runden)</t>
        </is>
      </c>
      <c r="J57" s="16" t="inlineStr">
        <is>
          <t>n/a (nicht publiziert; Growth-typisch zweistellige Mio. EUR)</t>
        </is>
      </c>
      <c r="K57" s="16" t="inlineStr">
        <is>
          <t>über 750 Mio. EUR AUM; Fund II 2023 mit 403 Mio. EUR geschlossen</t>
        </is>
      </c>
      <c r="L57" s="15" t="inlineStr">
        <is>
          <t>Teilweise</t>
        </is>
      </c>
      <c r="M57" s="16" t="inlineStr">
        <is>
          <t>Europäische B2B-Technologieunternehmen, Schwerpunkt FinTech und IndustrialTech; SaaS, Enterprise Software, Big Data &amp; Analytics, AI/ML als Querschnittsthemen</t>
        </is>
      </c>
      <c r="N57" s="16" t="inlineStr">
        <is>
          <t>NavVis (räumliche Daten/Indoor-Mapping), quantilope (Insights-Automatisierung für Consumer Research), Pricefx (Pricing-Software), TRUCE Software</t>
        </is>
      </c>
      <c r="O57" s="16" t="inlineStr">
        <is>
          <t>Gering bis mittel - B2B-Datenprodukte im Portfolio, aber kein Frühphasenkapital und keine Data-Infra-/MLOps-These</t>
        </is>
      </c>
      <c r="P57" s="16" t="inlineStr">
        <is>
          <t>-</t>
        </is>
      </c>
      <c r="Q57" s="16" t="inlineStr">
        <is>
          <t>n/a</t>
        </is>
      </c>
      <c r="R57" s="16" t="inlineStr">
        <is>
          <t>n/a</t>
        </is>
      </c>
      <c r="S57" s="16" t="inlineStr">
        <is>
          <t>n/a</t>
        </is>
      </c>
      <c r="T57" s="16" t="inlineStr">
        <is>
          <t>https://yttrium.com/ (Kontakt über Website; keine öffentliche Pitch-Mail)</t>
        </is>
      </c>
      <c r="U57" s="16" t="inlineStr">
        <is>
          <t>Yttrium ist ein reiner Growth-Equity-Investor für skalierende B2B-Software mit FinTech-/IndustrialTech-Schwerpunkt und investiert nicht in Pre-Seed/Seed/Series A. Die B2B-Software-DNA passt inhaltlich, die Phase jedoch nicht.</t>
        </is>
      </c>
      <c r="V57" s="16" t="inlineStr">
        <is>
          <t>Kein Frühphaseninvestor; nur 2 Neuinvestments in den letzten 12 Monaten; verlangt substanzielle ARR-Traktion; kein AI/Data-Infra-Schwerpunkt</t>
        </is>
      </c>
      <c r="W57" s="16" t="inlineStr">
        <is>
          <t>Erst ab Series B/C relevant - PathWize sollte Yttrium als späteren Growth-Partner mit DACH-Enterprise-Zugang beobachten und den Kontakt über eine kurze Traktions-Update-Mail warmhalten.</t>
        </is>
      </c>
      <c r="X57" s="18" t="n">
        <v>4</v>
      </c>
      <c r="Y57" s="18" t="n">
        <v>16</v>
      </c>
      <c r="Z57" s="18" t="n">
        <v>8</v>
      </c>
      <c r="AA57" s="18" t="n">
        <v>5</v>
      </c>
      <c r="AB57" s="18" t="n">
        <v>10</v>
      </c>
      <c r="AC57" s="15" t="inlineStr">
        <is>
          <t>Mittel</t>
        </is>
      </c>
      <c r="AD57" s="15" t="inlineStr">
        <is>
          <t>Bestandsliste</t>
        </is>
      </c>
      <c r="AE57" s="16" t="inlineStr">
        <is>
          <t>https://yttrium.com/</t>
        </is>
      </c>
      <c r="AF57" s="16" t="inlineStr">
        <is>
          <t>https://yttrium.com/, https://www.crunchbase.com/organization/digitalpartners, https://tracxn.com/d/venture-capital/yttrium, https://pitchbook.com/profiles/investor/156134-08</t>
        </is>
      </c>
    </row>
    <row r="58">
      <c r="A58" s="24" t="n">
        <v>54</v>
      </c>
      <c r="B58" s="25" t="inlineStr">
        <is>
          <t>Ekk &amp; Co</t>
        </is>
      </c>
      <c r="C58" s="26" t="inlineStr">
        <is>
          <t>C</t>
        </is>
      </c>
      <c r="D58" s="26" t="n">
        <v>41</v>
      </c>
      <c r="E58" s="15" t="inlineStr">
        <is>
          <t>Stuttgart</t>
        </is>
      </c>
      <c r="F58" s="15" t="inlineStr">
        <is>
          <t>Deutschland</t>
        </is>
      </c>
      <c r="G58" s="15" t="inlineStr">
        <is>
          <t>VC / Beteiligungsgesellschaft (Early Growth, evergreen-artig, gegründet 2000 als Dr. Engelhardt, Kaupp, Kiefer)</t>
        </is>
      </c>
      <c r="H58" s="16" t="inlineStr">
        <is>
          <t>Early Growth - Unternehmen mit erreichtem Product-Market-Fit vor dem nächsten Wachstumsschritt; kein klassisches Series-A/B/C-Raster</t>
        </is>
      </c>
      <c r="I58" s="15" t="inlineStr">
        <is>
          <t>Ja - typischerweise als hauptbeteiligter Wachstumsinvestor</t>
        </is>
      </c>
      <c r="J58" s="16" t="inlineStr">
        <is>
          <t>mittlerer bis hoher siebenstelliger Bereich (Beispiel smartvillage: mittlerer siebenstelliger Betrag)</t>
        </is>
      </c>
      <c r="K58" s="16" t="inlineStr">
        <is>
          <t>n/a (nicht veröffentlicht); 32 Investments und 14 Exits seit Gründung</t>
        </is>
      </c>
      <c r="L58" s="18" t="inlineStr">
        <is>
          <t>Nein</t>
        </is>
      </c>
      <c r="M58" s="16" t="inlineStr">
        <is>
          <t>'Holistic Growth Investing' - branchenagnostisch, Fokus auf herausragende Teams mit bewiesenem Geschäftsmodell. Bisherige Sektoren: Daten, PropTech, Nachhaltigkeit, HR-Tech, Gaming/Esport, Konsumgüter, industrienahe Dienstleistungen.</t>
        </is>
      </c>
      <c r="N58" s="16" t="inlineStr">
        <is>
          <t>XPLN (Datenanalyse/Preisintelligenz) als einziges datennahes Investment; weiter ESL, Plitch, Happy Sprinkles, tradingtwins, smartvillage</t>
        </is>
      </c>
      <c r="O58" s="16" t="inlineStr">
        <is>
          <t>Gering: keine belegten AI-, MLOps- oder Annotation-Investments; das Portfolio ist überwiegend Consumer-, Gaming- und PropTech-lastig.</t>
        </is>
      </c>
      <c r="P58" s="16" t="inlineStr">
        <is>
          <t>-</t>
        </is>
      </c>
      <c r="Q58" s="16" t="inlineStr">
        <is>
          <t>Roman Loch</t>
        </is>
      </c>
      <c r="R58" s="16" t="inlineStr">
        <is>
          <t>Managing Partner (weitere: Moritz Reck, Managing Partner; Dr. Tobias Engelhardt, Founder &amp; Chairman)</t>
        </is>
      </c>
      <c r="S58" s="16" t="inlineStr">
        <is>
          <t>n/a</t>
        </is>
      </c>
      <c r="T58" s="16" t="inlineStr">
        <is>
          <t>info@ekkco.de ; Telefon +49 711 518 764 00 ; Marienstraße 39, 70178 Stuttgart</t>
        </is>
      </c>
      <c r="U58" s="16" t="inlineStr">
        <is>
          <t>EKK &amp; Co investiert erst nach erreichtem Product-Market-Fit in der Early-Growth-Phase und hat keine AI- oder Data-Infrastruktur-These; das Portfolio ist Consumer-, Gaming- und PropTech-geprägt.</t>
        </is>
      </c>
      <c r="V58" s="16" t="inlineStr">
        <is>
          <t>Kein AI/Data-Fokus, keine Frühphasen-Tickets, kein Deep-Tech-Track-Record. Für Pre-Seed/Seed faktisch nicht adressierbar.</t>
        </is>
      </c>
      <c r="W58" s="16" t="inlineStr">
        <is>
          <t>Erst bei belastbarem ARR und Profitabilitätspfad ansprechen - dann als bodenständiger süddeutscher Wachstumspartner für die Skalierung des Annotation-Delivery-Geschäfts.</t>
        </is>
      </c>
      <c r="X58" s="18" t="n">
        <v>10</v>
      </c>
      <c r="Y58" s="18" t="n">
        <v>10</v>
      </c>
      <c r="Z58" s="18" t="n">
        <v>5</v>
      </c>
      <c r="AA58" s="18" t="n">
        <v>6</v>
      </c>
      <c r="AB58" s="18" t="n">
        <v>10</v>
      </c>
      <c r="AC58" s="15" t="inlineStr">
        <is>
          <t>Mittel</t>
        </is>
      </c>
      <c r="AD58" s="15" t="inlineStr">
        <is>
          <t>Bestandsliste</t>
        </is>
      </c>
      <c r="AE58" s="16" t="inlineStr">
        <is>
          <t>https://www.ekkco.de/</t>
        </is>
      </c>
      <c r="AF58" s="16" t="inlineStr">
        <is>
          <t>https://www.ekkco.de/, https://www.crunchbase.com/organization/ekk-co, https://www.eu-startups.com/investor/ekk-co/, https://www.linkedin.com/company/ekkco</t>
        </is>
      </c>
    </row>
    <row r="59">
      <c r="A59" s="24" t="n">
        <v>55</v>
      </c>
      <c r="B59" s="25" t="inlineStr">
        <is>
          <t>Future Energy Ventures</t>
        </is>
      </c>
      <c r="C59" s="26" t="inlineStr">
        <is>
          <t>C</t>
        </is>
      </c>
      <c r="D59" s="26" t="n">
        <v>41</v>
      </c>
      <c r="E59" s="15" t="inlineStr">
        <is>
          <t>Berlin</t>
        </is>
      </c>
      <c r="F59" s="15" t="inlineStr">
        <is>
          <t>Deutschland</t>
        </is>
      </c>
      <c r="G59" s="15" t="inlineStr">
        <is>
          <t>Corporate-nahes Venture Capital (E.ON-Ursprung, heute eigenständig)</t>
        </is>
      </c>
      <c r="H59" s="16" t="inlineStr">
        <is>
          <t>Series A und später (Sweet Spot Series A/B mit Product-Market-Fit)</t>
        </is>
      </c>
      <c r="I59" s="18" t="inlineStr">
        <is>
          <t>Ja</t>
        </is>
      </c>
      <c r="J59" s="16" t="inlineStr">
        <is>
          <t>Series A 1-5 Mio. EUR, spätere Runden 5-10 Mio. EUR</t>
        </is>
      </c>
      <c r="K59" s="16" t="inlineStr">
        <is>
          <t>Fund II 2025 mit ca. 235 Mio. EUR geschlossen (Berichte nennen 205-235 Mio. EUR)</t>
        </is>
      </c>
      <c r="L59" s="15" t="inlineStr">
        <is>
          <t>Teilweise</t>
        </is>
      </c>
      <c r="M59" s="16" t="inlineStr">
        <is>
          <t>Energiewende mit Fokus auf Elektrifizierung und Orchestrierung; digitale, skalierbare, asset-light Unternehmen an der Schnittstelle von Energie, Mobilität, Gebäuden, Industrie und digitaler Infrastruktur; Artikel-9-Fonds nach SFDR</t>
        </is>
      </c>
      <c r="N59" s="16" t="inlineStr">
        <is>
          <t>GridCARE, Jua (KI-Wettervorhersage), enspired (KI-gestützter Stromhandel), Reel, Pstryk, Solarize, Feld Energy; AI, Cybersecurity, Robotik und Advanced Computing werden als Enabler-Technologien genannt</t>
        </is>
      </c>
      <c r="O59" s="16" t="inlineStr">
        <is>
          <t>Gering - AI wird nur als Enabler innerhalb der Energiewende-These betrachtet; ein horizontaler Data-Labeling-Anbieter fällt nicht in das Artikel-9-Mandat</t>
        </is>
      </c>
      <c r="P59" s="16" t="inlineStr">
        <is>
          <t>-</t>
        </is>
      </c>
      <c r="Q59" s="16" t="inlineStr">
        <is>
          <t>Jan Lozek</t>
        </is>
      </c>
      <c r="R59" s="16" t="inlineStr">
        <is>
          <t>Founder &amp; Managing Partner</t>
        </is>
      </c>
      <c r="S59" s="16" t="inlineStr">
        <is>
          <t>n/a</t>
        </is>
      </c>
      <c r="T59" s="16" t="inlineStr">
        <is>
          <t>https://form.typeform.com/to/gJ32a07U (Pitch-Formular)</t>
        </is>
      </c>
      <c r="U59" s="16" t="inlineStr">
        <is>
          <t>FEV investiert zwar ab Series A in DACH und nennt AI als Enabler, ist aber als SFDR-Artikel-9-Fonds strikt auf die Energiewende festgelegt. Ein horizontales Data-Labeling-Produkt passt nur, wenn PathWize einen klaren Energie-Use-Case nachweist.</t>
        </is>
      </c>
      <c r="V59" s="16" t="inlineStr">
        <is>
          <t>Artikel-9-Klassifizierung erzwingt nachweisbaren Klima-/Energiebeitrag; kein Pre-Seed/Seed; AI nur als Querschnittstechnologie, nicht als eigene These</t>
        </is>
      </c>
      <c r="W59" s="16" t="inlineStr">
        <is>
          <t>Nur mit einem konkreten Energie-Vertical ansprechen - etwa annotierte Trainingsdaten für Netzinspektion, Solar-/Anlagen-Bilderkennung oder Predictive Maintenance im Energiesektor.</t>
        </is>
      </c>
      <c r="X59" s="18" t="n">
        <v>12</v>
      </c>
      <c r="Y59" s="18" t="n">
        <v>7</v>
      </c>
      <c r="Z59" s="18" t="n">
        <v>4</v>
      </c>
      <c r="AA59" s="18" t="n">
        <v>8</v>
      </c>
      <c r="AB59" s="18" t="n">
        <v>10</v>
      </c>
      <c r="AC59" s="15" t="inlineStr">
        <is>
          <t>Mittel</t>
        </is>
      </c>
      <c r="AD59" s="15" t="inlineStr">
        <is>
          <t>Bestandsliste</t>
        </is>
      </c>
      <c r="AE59" s="16" t="inlineStr">
        <is>
          <t>https://fev.vc/</t>
        </is>
      </c>
      <c r="AF59" s="16" t="inlineStr">
        <is>
          <t>https://fev.vc/, https://fev.vc/team/, https://www.esgtoday.com/future-energy-ventures-raises-270-million-energy-transition-tech-vc-fund/, https://www.eu-startups.com/2025/11/future-energy-ventures-closes-e205-million-fund-ii-strengthening-its-role-in-european-energytech-vc/</t>
        </is>
      </c>
    </row>
    <row r="60">
      <c r="A60" s="24" t="n">
        <v>56</v>
      </c>
      <c r="B60" s="25" t="inlineStr">
        <is>
          <t>Wellington Partners</t>
        </is>
      </c>
      <c r="C60" s="26" t="inlineStr">
        <is>
          <t>C</t>
        </is>
      </c>
      <c r="D60" s="26" t="n">
        <v>40</v>
      </c>
      <c r="E60" s="15" t="inlineStr">
        <is>
          <t>München</t>
        </is>
      </c>
      <c r="F60" s="15" t="inlineStr">
        <is>
          <t>Deutschland</t>
        </is>
      </c>
      <c r="G60" s="15" t="inlineStr">
        <is>
          <t>VC (heute Sektorspezialist Life Science)</t>
        </is>
      </c>
      <c r="H60" s="16" t="inlineStr">
        <is>
          <t>Early Stage bis Growth Stage – ausschließlich Life Science</t>
        </is>
      </c>
      <c r="I60" s="15" t="inlineStr">
        <is>
          <t>Ja – führt Runden in Life-Science-Deals regelmäßig an</t>
        </is>
      </c>
      <c r="J60" s="16" t="inlineStr">
        <is>
          <t>bis zu 20 Mio. EUR pro Portfolio-Company über die Lebensdauer</t>
        </is>
      </c>
      <c r="K60" s="16" t="inlineStr">
        <is>
          <t>Wellington Partners Life Science Fund V (WPLS-V): 237 Mio. USD / ca. 210 Mio. EUR; Ziel 15–20 Portfolio-Companies</t>
        </is>
      </c>
      <c r="L60" s="18" t="inlineStr">
        <is>
          <t>Nein</t>
        </is>
      </c>
      <c r="M60" s="16" t="inlineStr">
        <is>
          <t>Life Science: Biotechnologie-Plattformen, neue Therapeutika, Medizintechnik, selektiv Diagnostik und Digital Medicine; Fokus Deutschland/Europa</t>
        </is>
      </c>
      <c r="N60" s="16" t="inlineStr">
        <is>
          <t>n/a – Digital-Medicine-Investments existieren selektiv, aber kein belegtes AI-Infrastruktur- oder Data-Tooling-Investment</t>
        </is>
      </c>
      <c r="O60" s="16" t="inlineStr">
        <is>
          <t>Gering – nur denkbar über medizinische Bilddaten in Digital-Medicine-Beteiligungen</t>
        </is>
      </c>
      <c r="P60" s="16" t="inlineStr">
        <is>
          <t>Data-Infra-nah</t>
        </is>
      </c>
      <c r="Q60" s="16" t="inlineStr">
        <is>
          <t>n/a</t>
        </is>
      </c>
      <c r="R60" s="16" t="inlineStr">
        <is>
          <t>n/a</t>
        </is>
      </c>
      <c r="S60" s="16" t="inlineStr">
        <is>
          <t>n/a</t>
        </is>
      </c>
      <c r="T60" s="16" t="inlineStr">
        <is>
          <t>n/a (Kontakt über wellington-partners.com)</t>
        </is>
      </c>
      <c r="U60" s="16" t="inlineStr">
        <is>
          <t>Der frühere Tech-Arm ist praktisch inaktiv; heute reiner Life-Science-Investor mit 237-Mio.-USD-Fonds V. Eine horizontale Data-Labeling-Plattform passt nicht ins Mandat, trotz guter DACH-Verankerung.</t>
        </is>
      </c>
      <c r="V60" s="16" t="inlineStr">
        <is>
          <t>Ausschließlich Life-Science-Mandat; keine aktive Tech-/Software-Strategie mehr; sehr konzentriertes Portfolio (15–20 Companies)</t>
        </is>
      </c>
      <c r="W60" s="16" t="inlineStr">
        <is>
          <t>Nur mit einem Life-Science-Vertical sinnvoll: Annotation von Pathologie-, Radiologie- und Omics-Daten für Biotech- und Medtech-Modelle.</t>
        </is>
      </c>
      <c r="X60" s="18" t="n">
        <v>16</v>
      </c>
      <c r="Y60" s="18" t="n">
        <v>4</v>
      </c>
      <c r="Z60" s="18" t="n">
        <v>3</v>
      </c>
      <c r="AA60" s="18" t="n">
        <v>7</v>
      </c>
      <c r="AB60" s="18" t="n">
        <v>10</v>
      </c>
      <c r="AC60" s="15" t="inlineStr">
        <is>
          <t>Mittel</t>
        </is>
      </c>
      <c r="AD60" s="15" t="inlineStr">
        <is>
          <t>Bestandsliste</t>
        </is>
      </c>
      <c r="AE60" s="16" t="inlineStr">
        <is>
          <t>https://wellington-partners.com/</t>
        </is>
      </c>
      <c r="AF60" s="16" t="inlineStr">
        <is>
          <t>https://wellington-partners.com/, https://www.biospace.com/venture-firm-wellington-partners-launches-237-million-life-science-fund, https://www.labiotech.eu/trends-news/wellington-partners-life-sciences-fund/</t>
        </is>
      </c>
    </row>
  </sheetData>
  <autoFilter ref="A4:AF60"/>
  <mergeCells count="2">
    <mergeCell ref="A1:AF1"/>
    <mergeCell ref="A2:AF2"/>
  </mergeCells>
  <pageMargins left="0.75" right="0.75" top="1" bottom="1" header="0.5" footer="0.5"/>
</worksheet>
</file>

<file path=xl/worksheets/sheet6.xml><?xml version="1.0" encoding="utf-8"?>
<worksheet xmlns="http://schemas.openxmlformats.org/spreadsheetml/2006/main">
  <sheetPr>
    <tabColor rgb="00A6A6A6"/>
    <outlinePr summaryBelow="1" summaryRight="1"/>
    <pageSetUpPr/>
  </sheetPr>
  <dimension ref="A1:AF2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6" customWidth="1" min="3" max="3"/>
    <col width="7" customWidth="1" min="4" max="4"/>
    <col width="14" customWidth="1" min="5" max="5"/>
    <col width="7" customWidth="1" min="6" max="6"/>
    <col width="14" customWidth="1" min="7" max="7"/>
    <col width="22" customWidth="1" min="8" max="8"/>
    <col width="12" customWidth="1" min="9" max="9"/>
    <col width="20" customWidth="1" min="10" max="10"/>
    <col width="24" customWidth="1" min="11" max="11"/>
    <col width="12" customWidth="1" min="12" max="12"/>
    <col width="42" customWidth="1" min="13" max="13"/>
    <col width="40" customWidth="1" min="14" max="14"/>
    <col width="34" customWidth="1" min="15" max="15"/>
    <col width="32" customWidth="1" min="16" max="16"/>
    <col width="22" customWidth="1" min="17" max="17"/>
    <col width="20" customWidth="1" min="18" max="18"/>
    <col width="30" customWidth="1" min="19" max="19"/>
    <col width="30" customWidth="1" min="20" max="20"/>
    <col width="48" customWidth="1" min="21" max="21"/>
    <col width="34" customWidth="1" min="22" max="22"/>
    <col width="46" customWidth="1" min="23" max="23"/>
    <col width="9" customWidth="1" min="24" max="24"/>
    <col width="9" customWidth="1" min="25" max="25"/>
    <col width="11" customWidth="1" min="26" max="26"/>
    <col width="11" customWidth="1" min="27" max="27"/>
    <col width="9" customWidth="1" min="28" max="28"/>
    <col width="11" customWidth="1" min="29" max="29"/>
    <col width="20" customWidth="1" min="30" max="30"/>
    <col width="28" customWidth="1" min="31" max="31"/>
    <col width="46" customWidth="1" min="32" max="32"/>
  </cols>
  <sheetData>
    <row r="1" ht="28" customHeight="1">
      <c r="A1" s="1" t="inlineStr">
        <is>
          <t>Tier D – kein Fit (Score &lt; 40)</t>
        </is>
      </c>
    </row>
    <row r="2" ht="18" customHeight="1">
      <c r="A2" s="2" t="inlineStr">
        <is>
          <t>Bewusst dokumentiert: falsche Phase oder falscher Sektor. Nicht anschreiben.</t>
        </is>
      </c>
    </row>
    <row r="4" ht="34" customHeight="1">
      <c r="A4" s="11" t="inlineStr">
        <is>
          <t>Rang</t>
        </is>
      </c>
      <c r="B4" s="11" t="inlineStr">
        <is>
          <t>VC / Fonds</t>
        </is>
      </c>
      <c r="C4" s="11" t="inlineStr">
        <is>
          <t>Tier</t>
        </is>
      </c>
      <c r="D4" s="11" t="inlineStr">
        <is>
          <t>Score</t>
        </is>
      </c>
      <c r="E4" s="11" t="inlineStr">
        <is>
          <t>Stadt</t>
        </is>
      </c>
      <c r="F4" s="11" t="inlineStr">
        <is>
          <t>Land</t>
        </is>
      </c>
      <c r="G4" s="11" t="inlineStr">
        <is>
          <t>Typ</t>
        </is>
      </c>
      <c r="H4" s="11" t="inlineStr">
        <is>
          <t>Stage-Fokus</t>
        </is>
      </c>
      <c r="I4" s="11" t="inlineStr">
        <is>
          <t>Leads Runden?</t>
        </is>
      </c>
      <c r="J4" s="11" t="inlineStr">
        <is>
          <t>Ticket-Size</t>
        </is>
      </c>
      <c r="K4" s="11" t="inlineStr">
        <is>
          <t>Fondsgroesse / AUM</t>
        </is>
      </c>
      <c r="L4" s="11" t="inlineStr">
        <is>
          <t>AI/Data-Fokus</t>
        </is>
      </c>
      <c r="M4" s="11" t="inlineStr">
        <is>
          <t>Sektor-These</t>
        </is>
      </c>
      <c r="N4" s="11" t="inlineStr">
        <is>
          <t>Portfolio AI / Data-Infra</t>
        </is>
      </c>
      <c r="O4" s="11" t="inlineStr">
        <is>
          <t>Data-Labeling-Relevanz</t>
        </is>
      </c>
      <c r="P4" s="11" t="inlineStr">
        <is>
          <t>Labeling-Signal</t>
        </is>
      </c>
      <c r="Q4" s="11" t="inlineStr">
        <is>
          <t>Relevanter Partner</t>
        </is>
      </c>
      <c r="R4" s="11" t="inlineStr">
        <is>
          <t>Rolle</t>
        </is>
      </c>
      <c r="S4" s="11" t="inlineStr">
        <is>
          <t>LinkedIn</t>
        </is>
      </c>
      <c r="T4" s="11" t="inlineStr">
        <is>
          <t>Kontakt</t>
        </is>
      </c>
      <c r="U4" s="11" t="inlineStr">
        <is>
          <t>Fit-Begruendung</t>
        </is>
      </c>
      <c r="V4" s="11" t="inlineStr">
        <is>
          <t>Red Flags</t>
        </is>
      </c>
      <c r="W4" s="11" t="inlineStr">
        <is>
          <t>Outreach-Angle</t>
        </is>
      </c>
      <c r="X4" s="11" t="inlineStr">
        <is>
          <t>Stage (30)</t>
        </is>
      </c>
      <c r="Y4" s="11" t="inlineStr">
        <is>
          <t>These (30)</t>
        </is>
      </c>
      <c r="Z4" s="11" t="inlineStr">
        <is>
          <t>Portfolio (20)</t>
        </is>
      </c>
      <c r="AA4" s="11" t="inlineStr">
        <is>
          <t>Aktivitaet (10)</t>
        </is>
      </c>
      <c r="AB4" s="11" t="inlineStr">
        <is>
          <t>Geo (10)</t>
        </is>
      </c>
      <c r="AC4" s="11" t="inlineStr">
        <is>
          <t>Konfidenz</t>
        </is>
      </c>
      <c r="AD4" s="11" t="inlineStr">
        <is>
          <t>Herkunft</t>
        </is>
      </c>
      <c r="AE4" s="11" t="inlineStr">
        <is>
          <t>Website</t>
        </is>
      </c>
      <c r="AF4" s="11" t="inlineStr">
        <is>
          <t>Quellen</t>
        </is>
      </c>
    </row>
    <row r="5">
      <c r="A5" s="27" t="n">
        <v>1</v>
      </c>
      <c r="B5" s="28" t="inlineStr">
        <is>
          <t>Alpine Space Ventures</t>
        </is>
      </c>
      <c r="C5" s="29" t="inlineStr">
        <is>
          <t>D</t>
        </is>
      </c>
      <c r="D5" s="29" t="n">
        <v>38</v>
      </c>
      <c r="E5" s="15" t="inlineStr">
        <is>
          <t>München</t>
        </is>
      </c>
      <c r="F5" s="15" t="inlineStr">
        <is>
          <t>Deutschland</t>
        </is>
      </c>
      <c r="G5" s="15" t="inlineStr">
        <is>
          <t>Sektorspezifisches Venture Capital (Space)</t>
        </is>
      </c>
      <c r="H5" s="16" t="inlineStr">
        <is>
          <t>Series A (Unternehmen mit ersten Umsätzen und Kundenpipeline), Follow-on in späteren Runden</t>
        </is>
      </c>
      <c r="I5" s="15" t="inlineStr">
        <is>
          <t>Ja (führt Runden typischerweise an)</t>
        </is>
      </c>
      <c r="J5" s="16" t="inlineStr">
        <is>
          <t>10-20 Mio. EUR Erstinvestment</t>
        </is>
      </c>
      <c r="K5" s="16" t="inlineStr">
        <is>
          <t>Fonds I mit 160-170 Mio. EUR geschlossen (2024); Investoren u.a. NATO Innovation Fund und Europäischer Investitionsfonds</t>
        </is>
      </c>
      <c r="L5" s="18" t="inlineStr">
        <is>
          <t>Nein</t>
        </is>
      </c>
      <c r="M5" s="16" t="inlineStr">
        <is>
          <t>Gesamte industrielle Wertschöpfungskette der Raumfahrt: Komponenten, Satellitenfertigung, Betrieb, Service-Bereitstellung und Datenverarbeitung; Fokus auf 10x-Verbesserungen in existierenden Märkten statt spekulativer Technologien</t>
        </is>
      </c>
      <c r="N5" s="16" t="inlineStr">
        <is>
          <t>constellr (thermale Erdbeobachtungsdaten), Northwood (Bodeninfrastruktur), K2 Space, Reflex Aerospace, Blackwave, Source Energy, Morpheus Space</t>
        </is>
      </c>
      <c r="O5" s="16" t="inlineStr">
        <is>
          <t>Gering - lediglich indirekt über Erdbeobachtungs-Datenverarbeitung (constellr); kein horizontales AI-/Labeling-Mandat</t>
        </is>
      </c>
      <c r="P5" s="16" t="inlineStr">
        <is>
          <t>-</t>
        </is>
      </c>
      <c r="Q5" s="16" t="inlineStr">
        <is>
          <t>Bulent Altan</t>
        </is>
      </c>
      <c r="R5" s="16" t="inlineStr">
        <is>
          <t>Founding Partner (zuvor SpaceX-Führungsteam 2004-2017)</t>
        </is>
      </c>
      <c r="S5" s="16" t="inlineStr">
        <is>
          <t>n/a</t>
        </is>
      </c>
      <c r="T5" s="16" t="inlineStr">
        <is>
          <t>team@alpinespace.vc</t>
        </is>
      </c>
      <c r="U5" s="16" t="inlineStr">
        <is>
          <t>Alpine Space Ventures ist ein reiner Space-Sektorfonds mit 10-20 Mio. EUR Tickets ab Series A und hat weder eine AI-/Data-Infra-These noch passende Frühphasen-Tickets. Nur ein spezialisierter Erdbeobachtungs-Annotationsfall wäre überhaupt anschlussfähig.</t>
        </is>
      </c>
      <c r="V5" s="16" t="inlineStr">
        <is>
          <t>Enger Space-Sektorfokus; Mindestticket 10 Mio. EUR deutlich über Seed-Bedarf; kein Pre-Seed/Seed; Fonds I bereits weitgehend allokiert (7 Portfoliofirmen), kein Fonds II bestätigt</t>
        </is>
      </c>
      <c r="W5" s="16" t="inlineStr">
        <is>
          <t>Nur relevant, wenn PathWize ein Satelliten-/Erdbeobachtungs-Annotationsprodukt aufbaut - dann über constellr als Referenzkunde und Warm-Intro einsteigen.</t>
        </is>
      </c>
      <c r="X5" s="18" t="n">
        <v>14</v>
      </c>
      <c r="Y5" s="18" t="n">
        <v>4</v>
      </c>
      <c r="Z5" s="18" t="n">
        <v>3</v>
      </c>
      <c r="AA5" s="18" t="n">
        <v>7</v>
      </c>
      <c r="AB5" s="18" t="n">
        <v>10</v>
      </c>
      <c r="AC5" s="18" t="inlineStr">
        <is>
          <t>Hoch</t>
        </is>
      </c>
      <c r="AD5" s="15" t="inlineStr">
        <is>
          <t>Bestandsliste</t>
        </is>
      </c>
      <c r="AE5" s="16" t="inlineStr">
        <is>
          <t>https://alpinespace.vc/</t>
        </is>
      </c>
      <c r="AF5" s="16" t="inlineStr">
        <is>
          <t>https://alpinespace.vc/, https://www.munich-startup.de/en/103298/alpine-space-ventures-fund-closing/, https://www.eu-startups.com/2024/07/alpine-space-ventures-closes-e170-million-fund-to-target-series-a-space-tech-rounds/, https://payloadspace.com/alpine-space-ventures-closes-e170m-fund/</t>
        </is>
      </c>
    </row>
    <row r="6">
      <c r="A6" s="27" t="n">
        <v>2</v>
      </c>
      <c r="B6" s="28" t="inlineStr">
        <is>
          <t>Evonik Venture Capital</t>
        </is>
      </c>
      <c r="C6" s="29" t="inlineStr">
        <is>
          <t>D</t>
        </is>
      </c>
      <c r="D6" s="29" t="n">
        <v>38</v>
      </c>
      <c r="E6" s="15" t="inlineStr">
        <is>
          <t>Essen / Hanau (weitere Standorte in den USA und China)</t>
        </is>
      </c>
      <c r="F6" s="15" t="inlineStr">
        <is>
          <t>Deutschland</t>
        </is>
      </c>
      <c r="G6" s="15" t="inlineStr">
        <is>
          <t>Corporate VC (Evonik Industries AG)</t>
        </is>
      </c>
      <c r="H6" s="16" t="inlineStr">
        <is>
          <t>Early Stage bis Growth Stage, in der Praxis Schwerpunkt Series A und Series B</t>
        </is>
      </c>
      <c r="I6" s="15" t="inlineStr">
        <is>
          <t>Teilweise - überwiegend strategischer Co-Investor neben Finanzinvestoren</t>
        </is>
      </c>
      <c r="J6" s="16" t="inlineStr">
        <is>
          <t>bis zu 15 Mio. EUR pro Portfoliounternehmen</t>
        </is>
      </c>
      <c r="K6" s="16" t="inlineStr">
        <is>
          <t>ca. 400 Mio. EUR Fondsvolumen; über 55 Direkt- und Fondsinvestments</t>
        </is>
      </c>
      <c r="L6" s="18" t="inlineStr">
        <is>
          <t>Nein</t>
        </is>
      </c>
      <c r="M6" s="16" t="inlineStr">
        <is>
          <t>Strategische Innovationsfelder von Evonik: Advance Precision Biosolutions, Accelerate Energy Transition und Enable Circular Economy; Sustainability Tech Fund mit sechs Technologiefeldern (Kreislaufwirtschaft, alternative Rohstoffe, Zukunftsmobilität, Wasserstoff, erneuerbarer Kohlenstoff, saubere Energie). Digitalisierung nur als Querschnittsthema entlang der Chemie-Wertschöpfungskette.</t>
        </is>
      </c>
      <c r="N6" s="16" t="inlineStr">
        <is>
          <t>n/a - keine belegten AI-, Data-Infrastruktur- oder MLOps-Investments; Fondsbeteiligungen u.a. an Azolla Ventures und Chrysalix (beide Sustainability)</t>
        </is>
      </c>
      <c r="O6" s="16" t="inlineStr">
        <is>
          <t>Gering: Der strategische Investmentauftrag ist auf Chemie, Materialien und Nachhaltigkeit ausgerichtet; horizontale Data-Labeling-Infrastruktur hat keinen strategischen Bezug zum Kerngeschäft.</t>
        </is>
      </c>
      <c r="P6" s="16" t="inlineStr">
        <is>
          <t>Data-Infra-nah</t>
        </is>
      </c>
      <c r="Q6" s="16" t="inlineStr">
        <is>
          <t>n/a</t>
        </is>
      </c>
      <c r="R6" s="16" t="inlineStr">
        <is>
          <t>n/a</t>
        </is>
      </c>
      <c r="S6" s="16" t="inlineStr">
        <is>
          <t>n/a</t>
        </is>
      </c>
      <c r="T6" s="16" t="inlineStr">
        <is>
          <t>Kontakt über https://www.evonik.com/en/company/venture-capital.html ; öffentliche Pitch-E-Mail: n/a</t>
        </is>
      </c>
      <c r="U6" s="16" t="inlineStr">
        <is>
          <t>Evonik Venture Capital investiert strategisch entlang der Chemie- und Nachhaltigkeits-Wertschöpfungskette ohne AI-/Data-Infrastruktur-These und typischerweise ab Series A - für PathWize besteht weder thematischer noch phasenseitiger Fit.</t>
        </is>
      </c>
      <c r="V6" s="16" t="inlineStr">
        <is>
          <t>Corporate-VC mit strategischem Filter (Bezug zum Chemiegeschäft erforderlich), kein AI/Data-Portfolio, kein Frühphasen-Schwerpunkt, kein öffentlicher Pitch-Kanal.</t>
        </is>
      </c>
      <c r="W6" s="16" t="inlineStr">
        <is>
          <t>Nur opportunistisch relevant, falls PathWize einen konkreten Industrie-/Chemie-Use-Case für annotierte Prozess- oder Materialdaten belegen kann.</t>
        </is>
      </c>
      <c r="X6" s="18" t="n">
        <v>12</v>
      </c>
      <c r="Y6" s="18" t="n">
        <v>6</v>
      </c>
      <c r="Z6" s="18" t="n">
        <v>3</v>
      </c>
      <c r="AA6" s="18" t="n">
        <v>7</v>
      </c>
      <c r="AB6" s="18" t="n">
        <v>10</v>
      </c>
      <c r="AC6" s="15" t="inlineStr">
        <is>
          <t>Mittel</t>
        </is>
      </c>
      <c r="AD6" s="15" t="inlineStr">
        <is>
          <t>Bestandsliste</t>
        </is>
      </c>
      <c r="AE6" s="16" t="inlineStr">
        <is>
          <t>https://www.evonik.com/en/company/venture-capital.html</t>
        </is>
      </c>
      <c r="AF6" s="16" t="inlineStr">
        <is>
          <t>https://www.evonik.com/en/company/venture-capital.html, https://www.evonik.com/en/company/Innovation/venture-capital/who-we-are.html, https://vc-mapping.gilion.com/vc-firms/evonik-venture-capital, https://www.evonik.com/en/news/press-releases/2022/06/evonik-spends-venture-capital-on-sustainability-funds-azolla-ven.html</t>
        </is>
      </c>
    </row>
    <row r="7">
      <c r="A7" s="27" t="n">
        <v>3</v>
      </c>
      <c r="B7" s="28" t="inlineStr">
        <is>
          <t>MGO Digital Ventures</t>
        </is>
      </c>
      <c r="C7" s="29" t="inlineStr">
        <is>
          <t>D</t>
        </is>
      </c>
      <c r="D7" s="29" t="n">
        <v>38</v>
      </c>
      <c r="E7" s="15" t="inlineStr">
        <is>
          <t>Bamberg</t>
        </is>
      </c>
      <c r="F7" s="15" t="inlineStr">
        <is>
          <t>Deutschland</t>
        </is>
      </c>
      <c r="G7" s="15" t="inlineStr">
        <is>
          <t>Corporate VC (Mediengruppe Oberfranken)</t>
        </is>
      </c>
      <c r="H7" s="16" t="inlineStr">
        <is>
          <t>Wachstumsphase; Batch-Angabe Seed/Series A nur teilweise bestaetigt</t>
        </is>
      </c>
      <c r="I7" s="15" t="inlineStr">
        <is>
          <t>Nein - ausschliesslich Minderheitsbeteiligungen, kein Lead-Profil belegt</t>
        </is>
      </c>
      <c r="J7" s="16" t="inlineStr">
        <is>
          <t>n/a</t>
        </is>
      </c>
      <c r="K7" s="16" t="inlineStr">
        <is>
          <t>n/a (Investmentarm der Mediengruppe, kein eigener Fonds)</t>
        </is>
      </c>
      <c r="L7" s="18" t="inlineStr">
        <is>
          <t>Nein</t>
        </is>
      </c>
      <c r="M7" s="16" t="inlineStr">
        <is>
          <t>Digitale Geschaeftsmodelle breit: Mobile Applications, E-Commerce, Payment, Software as a Service. Mehrwert ueber Reichweite und Kundenkontakte der Mediengruppe in Franken.</t>
        </is>
      </c>
      <c r="N7" s="16" t="inlineStr">
        <is>
          <t>Kein belegtes AI-/Data-Infra-Investment auffindbar.</t>
        </is>
      </c>
      <c r="O7" s="16" t="inlineStr">
        <is>
          <t>Sehr gering - keine technische Infrastrukturthese, Fokus auf medien- und reichweitennahe Digitalmodelle.</t>
        </is>
      </c>
      <c r="P7" s="16" t="inlineStr">
        <is>
          <t>Data-Infra-nah</t>
        </is>
      </c>
      <c r="Q7" s="16" t="inlineStr">
        <is>
          <t>n/a</t>
        </is>
      </c>
      <c r="R7" s="16" t="inlineStr">
        <is>
          <t>n/a</t>
        </is>
      </c>
      <c r="S7" s="16" t="inlineStr">
        <is>
          <t>n/a</t>
        </is>
      </c>
      <c r="T7" s="16" t="inlineStr">
        <is>
          <t>Kontaktformular auf mgo-ventures.de</t>
        </is>
      </c>
      <c r="U7" s="16" t="inlineStr">
        <is>
          <t>Regionaler Medien-CVC mit Fokus auf Minderheitsbeteiligungen in der Wachstumsphase, ohne Fruehphasen-Lead-Profil und ohne jede AI- oder Data-Infra-These.</t>
        </is>
      </c>
      <c r="V7" s="16" t="inlineStr">
        <is>
          <t>Kein eigener Fonds, keine Ticketangaben; Wachstumsphase statt Pre-Seed/Seed; Mehrwertversprechen (Medienreichweite Franken) irrelevant fuer ein B2B-Data-Infra-Produkt.</t>
        </is>
      </c>
      <c r="W7" s="16" t="inlineStr">
        <is>
          <t>Faktisch kein Fit - allenfalls als spaeterer strategischer Kunde fuer Content- und Dokumentenannotation im Verlagsgeschaeft relevant.</t>
        </is>
      </c>
      <c r="X7" s="18" t="n">
        <v>15</v>
      </c>
      <c r="Y7" s="18" t="n">
        <v>7</v>
      </c>
      <c r="Z7" s="18" t="n">
        <v>3</v>
      </c>
      <c r="AA7" s="18" t="n">
        <v>4</v>
      </c>
      <c r="AB7" s="18" t="n">
        <v>9</v>
      </c>
      <c r="AC7" s="15" t="inlineStr">
        <is>
          <t>Mittel</t>
        </is>
      </c>
      <c r="AD7" s="15" t="inlineStr">
        <is>
          <t>Bestandsliste</t>
        </is>
      </c>
      <c r="AE7" s="16" t="inlineStr">
        <is>
          <t>https://www.mgo-ventures.de/</t>
        </is>
      </c>
      <c r="AF7" s="16" t="inlineStr">
        <is>
          <t>https://www.mgo-ventures.de/, https://www.mediengruppe-oberfranken.de/unsere-vielfalt/mgo-digital-ventures/, https://www.deutsche-startups.de/verzeichnisse/investors-a-z/mgo-digital-ventures/, https://www.investorenguide.de/investor-finden/mgo-digital-ventures-gmbh-mediengruppe-oberfranken/</t>
        </is>
      </c>
    </row>
    <row r="8">
      <c r="A8" s="27" t="n">
        <v>4</v>
      </c>
      <c r="B8" s="28" t="inlineStr">
        <is>
          <t>Tane Fund (Tane Ventures)</t>
        </is>
      </c>
      <c r="C8" s="29" t="inlineStr">
        <is>
          <t>D</t>
        </is>
      </c>
      <c r="D8" s="29" t="n">
        <v>38</v>
      </c>
      <c r="E8" s="15" t="inlineStr">
        <is>
          <t>Berlin</t>
        </is>
      </c>
      <c r="F8" s="15" t="inlineStr">
        <is>
          <t>Deutschland</t>
        </is>
      </c>
      <c r="G8" s="15" t="inlineStr">
        <is>
          <t>VC (Sektorfonds, gemanagt von Redstone gemeinsam mit Kauri CAB)</t>
        </is>
      </c>
      <c r="H8" s="16" t="inlineStr">
        <is>
          <t>Pre-Seed, Seed, Series A</t>
        </is>
      </c>
      <c r="I8" s="15" t="inlineStr">
        <is>
          <t>Ja (laut VC-Sheet-Profil leadfähig)</t>
        </is>
      </c>
      <c r="J8" s="16" t="inlineStr">
        <is>
          <t>ca. 300 TUSD - 3 Mio. USD</t>
        </is>
      </c>
      <c r="K8" s="16" t="inlineStr">
        <is>
          <t>ca. 50 Mio. EUR (Auflage gemeinsam mit Kauri CAB)</t>
        </is>
      </c>
      <c r="L8" s="18" t="inlineStr">
        <is>
          <t>Nein</t>
        </is>
      </c>
      <c r="M8" s="16" t="inlineStr">
        <is>
          <t>Impact-/ESG-Fonds für das 'Built Environment': PropTech, ConstructionTech, ressourcenschonendes Bauen, Wohneigentumszugang, Ausrichtung an den UN SDGs. Europaweiter Fokus.</t>
        </is>
      </c>
      <c r="N8" s="16" t="inlineStr">
        <is>
          <t>n/a - keine belegbaren AI-/Data-Infrastruktur-Investments auffindbar</t>
        </is>
      </c>
      <c r="O8" s="16" t="inlineStr">
        <is>
          <t>Sehr gering. Data Labeling ist branchenagnostische AI-Infrastruktur und trifft die Bau-/Immobilien-ESG-These des Fonds nicht. Allenfalls indirekt, falls PathWize einen dedizierten Use Case für Bau-/Immobiliendaten (z. B. Annotation von Bauplänen, Satelliten-/Drohnenbildern) bespielen würde.</t>
        </is>
      </c>
      <c r="P8" s="16" t="inlineStr">
        <is>
          <t>Data-Infra-nah</t>
        </is>
      </c>
      <c r="Q8" s="16" t="inlineStr">
        <is>
          <t>Niklas Grunewald</t>
        </is>
      </c>
      <c r="R8" s="16" t="inlineStr">
        <is>
          <t>Managing Partner</t>
        </is>
      </c>
      <c r="S8" s="16" t="inlineStr">
        <is>
          <t>n/a</t>
        </is>
      </c>
      <c r="T8" s="16" t="inlineStr">
        <is>
          <t>Über Redstone (https://redstone.vc/) - eigene Tane-Domain leitet auf Redstone um; Kontaktformular/E-Mail dort</t>
        </is>
      </c>
      <c r="U8" s="16" t="inlineStr">
        <is>
          <t>Stage (Pre-Seed bis Series A) und Geografie (Berlin, DACH/Europa) passen gut, aber die Investmentthese ist ein klarer Sektorfonds für Bau, Immobilien und ESG im 'Built Environment'. Ein branchenagnostisches Data-Labeling-/Annotationsgeschäft fällt vollständig aus dem Mandat. Kein belegbares AI-/Data-Infra-Portfolio.</t>
        </is>
      </c>
      <c r="V8" s="16" t="inlineStr">
        <is>
          <t>Eigene Website tane.fund leitet auf redstone.vc um; Redstone erwähnt den Tane Fund auf der eigenen Seite nicht - Hinweis auf Integration in die Redstone-Plattform oder auf eingestellte eigenständige Aktivität. Keine aktuellen Deal-Meldungen auffindbar. Redstone steht bereits separat auf der Bestandsliste (Doppelung).</t>
        </is>
      </c>
      <c r="W8" s="16" t="inlineStr">
        <is>
          <t>Nur sinnvoll, wenn PathWize einen konkreten Built-Environment-Use-Case belegen kann (z. B. annotierte Trainingsdaten für Bauabnahme, Baufortschritts-Erkennung, Gebäude-/Satellitenbilder für ESG-Reporting). Ansonsten Ansprache über Redstone insgesamt statt über das Tane-Vehikel.</t>
        </is>
      </c>
      <c r="X8" s="18" t="n">
        <v>24</v>
      </c>
      <c r="Y8" s="18" t="n">
        <v>2</v>
      </c>
      <c r="Z8" s="18" t="n">
        <v>1</v>
      </c>
      <c r="AA8" s="18" t="n">
        <v>2</v>
      </c>
      <c r="AB8" s="18" t="n">
        <v>9</v>
      </c>
      <c r="AC8" s="15" t="inlineStr">
        <is>
          <t>Mittel</t>
        </is>
      </c>
      <c r="AD8" s="15" t="inlineStr">
        <is>
          <t>Bestandsliste</t>
        </is>
      </c>
      <c r="AE8" s="16" t="inlineStr">
        <is>
          <t>https://www.tane.fund/ (leitet aktuell auf https://redstone.vc/ weiter)</t>
        </is>
      </c>
      <c r="AF8" s="16" t="inlineStr">
        <is>
          <t>https://www.tane.fund/ ; https://www.vcsheet.com/fund/tane-fund ; https://redstone.vc/ ; https://www.startbase.com/news/redstone-startet-neuen-50-millionen-euro-fonds/ ; https://www.crunchbase.com/organization/tane-fund</t>
        </is>
      </c>
    </row>
    <row r="9">
      <c r="A9" s="27" t="n">
        <v>5</v>
      </c>
      <c r="B9" s="28" t="inlineStr">
        <is>
          <t>Alpha Future Funds</t>
        </is>
      </c>
      <c r="C9" s="29" t="inlineStr">
        <is>
          <t>D</t>
        </is>
      </c>
      <c r="D9" s="29" t="n">
        <v>37</v>
      </c>
      <c r="E9" s="15" t="inlineStr">
        <is>
          <t>Muenchen</t>
        </is>
      </c>
      <c r="F9" s="15" t="inlineStr">
        <is>
          <t>Deutschland</t>
        </is>
      </c>
      <c r="G9" s="15" t="inlineStr">
        <is>
          <t>VC (Sektorfonds Rohstoffe/Bergbau)</t>
        </is>
      </c>
      <c r="H9" s="16" t="inlineStr">
        <is>
          <t>Seed und spaeter, inklusive bereits cashflow-positiver Unternehmen</t>
        </is>
      </c>
      <c r="I9" s="18" t="inlineStr">
        <is>
          <t>n/a</t>
        </is>
      </c>
      <c r="J9" s="16" t="inlineStr">
        <is>
          <t>0,5 bis 50 Mio. EUR initial, plus Follow-on</t>
        </is>
      </c>
      <c r="K9" s="16" t="inlineStr">
        <is>
          <t>n/a (nicht offengelegt)</t>
        </is>
      </c>
      <c r="L9" s="18" t="inlineStr">
        <is>
          <t>Nein</t>
        </is>
      </c>
      <c r="M9" s="16" t="inlineStr">
        <is>
          <t>Technologische Innovationen fuer Effizienz und Dekarbonisierung in Metall- und Mineralwertschoepfungsketten: Automatisierung und Elektrifizierung, METS (Mining Equipment, Technology &amp; Services), Lieferkettentransparenz, Exploration kritischer Rohstoffe</t>
        </is>
      </c>
      <c r="N9" s="16" t="inlineStr">
        <is>
          <t>keine oeffentlich gelisteten Portfolio-Companies auffindbar; n/a</t>
        </is>
      </c>
      <c r="O9" s="16" t="inlineStr">
        <is>
          <t>Niedrig - kein Bezug zu AI-Trainingsdaten; hoechstens indirekt ueber Lieferkettentransparenz</t>
        </is>
      </c>
      <c r="P9" s="16" t="inlineStr">
        <is>
          <t>-</t>
        </is>
      </c>
      <c r="Q9" s="16" t="inlineStr">
        <is>
          <t>n/a</t>
        </is>
      </c>
      <c r="R9" s="16" t="inlineStr">
        <is>
          <t>n/a</t>
        </is>
      </c>
      <c r="S9" s="16" t="inlineStr">
        <is>
          <t>n/a</t>
        </is>
      </c>
      <c r="T9" s="16" t="inlineStr">
        <is>
          <t>Kontaktformular auf https://alphafuturefunds.com/contact/ (auf der Website stehen Platzhalter-Kontaktdaten)</t>
        </is>
      </c>
      <c r="U9" s="16" t="inlineStr">
        <is>
          <t>Reiner Rohstoff-, Bergbau- und Metallwertschoepfungsfonds ohne erkennbare AI-, Software- oder Data-These; die enorme Ticketspanne bis 50 Mio. EUR deutet zudem auf Projekt- statt Fruehphasen-Software-Finanzierung. Kein Fit fuer PathWize.</t>
        </is>
      </c>
      <c r="V9" s="16" t="inlineStr">
        <is>
          <t>Kein AI-/Software-Bezug; keine Portfolio-Companies oeffentlich gelistet; Website enthaelt Platzhalter-Kontaktdaten (info@email.com, +00 00 000 0000) - Aktivitaet und Professionalitaet fraglich; Fondsgroesse nicht belegbar</t>
        </is>
      </c>
      <c r="W9" s="16" t="inlineStr">
        <is>
          <t>Kein sinnvoller Outreach - allenfalls als Kundenkontakt fuer annotierte Bild-/Sensordaten in Mining-Automatisierung, nicht als Investor.</t>
        </is>
      </c>
      <c r="X9" s="18" t="n">
        <v>18</v>
      </c>
      <c r="Y9" s="18" t="n">
        <v>4</v>
      </c>
      <c r="Z9" s="18" t="n">
        <v>2</v>
      </c>
      <c r="AA9" s="18" t="n">
        <v>4</v>
      </c>
      <c r="AB9" s="18" t="n">
        <v>9</v>
      </c>
      <c r="AC9" s="15" t="inlineStr">
        <is>
          <t>Niedrig</t>
        </is>
      </c>
      <c r="AD9" s="15" t="inlineStr">
        <is>
          <t>Bestandsliste</t>
        </is>
      </c>
      <c r="AE9" s="16" t="inlineStr">
        <is>
          <t>https://alphafuturefunds.com/</t>
        </is>
      </c>
      <c r="AF9" s="16" t="inlineStr">
        <is>
          <t>https://alphafuturefunds.com/, https://alphafuturefunds.com/contact/</t>
        </is>
      </c>
    </row>
    <row r="10">
      <c r="A10" s="27" t="n">
        <v>6</v>
      </c>
      <c r="B10" s="28" t="inlineStr">
        <is>
          <t>PropTech1 Ventures</t>
        </is>
      </c>
      <c r="C10" s="29" t="inlineStr">
        <is>
          <t>D</t>
        </is>
      </c>
      <c r="D10" s="29" t="n">
        <v>37</v>
      </c>
      <c r="E10" s="15" t="inlineStr">
        <is>
          <t>Berlin</t>
        </is>
      </c>
      <c r="F10" s="15" t="inlineStr">
        <is>
          <t>Deutschland</t>
        </is>
      </c>
      <c r="G10" s="15" t="inlineStr">
        <is>
          <t>VC (Sektorfonds PropTech / Real Estate Tech)</t>
        </is>
      </c>
      <c r="H10" s="16" t="inlineStr">
        <is>
          <t>Seed bis Series A (laut Fondsprofil)</t>
        </is>
      </c>
      <c r="I10" s="18" t="inlineStr">
        <is>
          <t>n/a</t>
        </is>
      </c>
      <c r="J10" s="16" t="inlineStr">
        <is>
          <t>n/a</t>
        </is>
      </c>
      <c r="K10" s="16" t="inlineStr">
        <is>
          <t>n/a (nicht verifizierbar - Website offline)</t>
        </is>
      </c>
      <c r="L10" s="18" t="inlineStr">
        <is>
          <t>Nein</t>
        </is>
      </c>
      <c r="M10" s="16" t="inlineStr">
        <is>
          <t>Reiner PropTech-/Real-Estate-Tech-Fonds: Digitalisierung der Immobilien- und Bauwirtschaft, LP-Basis aus Immobilienunternehmen und Family Offices.</t>
        </is>
      </c>
      <c r="N10" s="16" t="inlineStr">
        <is>
          <t>n/a - nicht verifizierbar, da Website nicht abrufbar</t>
        </is>
      </c>
      <c r="O10" s="16" t="inlineStr">
        <is>
          <t>Gering. Trainingsdaten waeren nur ueber Immobilien-Computer-Vision (z.B. Bauabnahme, Bildanalyse) indirekt relevant.</t>
        </is>
      </c>
      <c r="P10" s="16" t="inlineStr">
        <is>
          <t>-</t>
        </is>
      </c>
      <c r="Q10" s="16" t="inlineStr">
        <is>
          <t>n/a (Team nicht verifizierbar, Website offline)</t>
        </is>
      </c>
      <c r="R10" s="16" t="inlineStr">
        <is>
          <t>n/a</t>
        </is>
      </c>
      <c r="S10" s="16" t="inlineStr">
        <is>
          <t>n/a</t>
        </is>
      </c>
      <c r="T10" s="16" t="inlineStr">
        <is>
          <t>n/a</t>
        </is>
      </c>
      <c r="U10" s="16" t="inlineStr">
        <is>
          <t>Reiner PropTech-Sektorfonds ohne AI-/Data-These; zusaetzlich ist die Website aktuell nicht erreichbar, was auf eingeschraenkte Fondsaktivitaet hindeutet.</t>
        </is>
      </c>
      <c r="V10" s="16" t="inlineStr">
        <is>
          <t>SCHWERWIEGEND: proptech1.vc liefert 'Squarespace - Website Expired' bzw. HTTP 503 - Fondsstatus und Team nicht verifizierbar. Sektorthese passt nicht zu PathWize.</t>
        </is>
      </c>
      <c r="W10" s="16" t="inlineStr">
        <is>
          <t>Aktuell nicht ansprechen; erst nach Klaerung des Fondsstatus und nur mit einem konkreten Immobilien-Computer-Vision-Use-Case.</t>
        </is>
      </c>
      <c r="X10" s="18" t="n">
        <v>18</v>
      </c>
      <c r="Y10" s="18" t="n">
        <v>4</v>
      </c>
      <c r="Z10" s="18" t="n">
        <v>3</v>
      </c>
      <c r="AA10" s="18" t="n">
        <v>2</v>
      </c>
      <c r="AB10" s="18" t="n">
        <v>10</v>
      </c>
      <c r="AC10" s="15" t="inlineStr">
        <is>
          <t>Niedrig</t>
        </is>
      </c>
      <c r="AD10" s="15" t="inlineStr">
        <is>
          <t>Bestandsliste</t>
        </is>
      </c>
      <c r="AE10" s="16" t="inlineStr">
        <is>
          <t>https://www.proptech1.vc (aktuell nicht erreichbar / Squarespace 'Website Expired')</t>
        </is>
      </c>
      <c r="AF10" s="16" t="inlineStr">
        <is>
          <t>http://proptech1.vc/ (Statuspruefung 2026-07-28), https://www.proptech1.vc/ (HTTP 503)</t>
        </is>
      </c>
    </row>
    <row r="11">
      <c r="A11" s="27" t="n">
        <v>7</v>
      </c>
      <c r="B11" s="28" t="inlineStr">
        <is>
          <t>TVM Capital GmbH (TVM Capital Life Science)</t>
        </is>
      </c>
      <c r="C11" s="29" t="inlineStr">
        <is>
          <t>D</t>
        </is>
      </c>
      <c r="D11" s="29" t="n">
        <v>37</v>
      </c>
      <c r="E11" s="15" t="inlineStr">
        <is>
          <t>München (zweiter Standort Montreal)</t>
        </is>
      </c>
      <c r="F11" s="15" t="inlineStr">
        <is>
          <t>Deutschland / Kanada</t>
        </is>
      </c>
      <c r="G11" s="15" t="inlineStr">
        <is>
          <t>VC (Sektorspezialist Life Science)</t>
        </is>
      </c>
      <c r="H11" s="16" t="inlineStr">
        <is>
          <t>Early Stage bis Late Stage innerhalb Life Science (Single-Asset-Companies bis kommerzielle Phase)</t>
        </is>
      </c>
      <c r="I11" s="15" t="inlineStr">
        <is>
          <t>Ja – führt regelmäßig Runden an bzw. gründet Portfolio-Companies selbst</t>
        </is>
      </c>
      <c r="J11" s="16" t="inlineStr">
        <is>
          <t>n/a (Investments typischerweise zweistellige Mio.-Beträge über die Lebensdauer)</t>
        </is>
      </c>
      <c r="K11" s="16" t="inlineStr">
        <is>
          <t>ca. 900 Mio. USD Assets under Management</t>
        </is>
      </c>
      <c r="L11" s="18" t="inlineStr">
        <is>
          <t>Nein</t>
        </is>
      </c>
      <c r="M11" s="16" t="inlineStr">
        <is>
          <t>Ausschließlich Life Science: Therapeutika, Technologieplattformen, Medtech, Diagnostik, Digital Health; Partnerschaft mit Eli Lilly für frühe Wirkstoffentwicklung</t>
        </is>
      </c>
      <c r="N11" s="16" t="inlineStr">
        <is>
          <t>Smart Reporting (AI-gestütztes radiologisches Befundwesen, Zukauf von Fluency for Imaging 2025); ansonsten kein AI-/Data-Infrastruktur-Portfolio</t>
        </is>
      </c>
      <c r="O11" s="16" t="inlineStr">
        <is>
          <t>Gering – allenfalls indirekt über medizinische Bildannotation bei Smart Reporting; keine horizontale Datenstrategie</t>
        </is>
      </c>
      <c r="P11" s="16" t="inlineStr">
        <is>
          <t>Data-Infra-nah</t>
        </is>
      </c>
      <c r="Q11" s="16" t="inlineStr">
        <is>
          <t>n/a</t>
        </is>
      </c>
      <c r="R11" s="16" t="inlineStr">
        <is>
          <t>n/a</t>
        </is>
      </c>
      <c r="S11" s="16" t="inlineStr">
        <is>
          <t>n/a</t>
        </is>
      </c>
      <c r="T11" s="16" t="inlineStr">
        <is>
          <t>n/a (Kontaktformular auf tvm-capital.com)</t>
        </is>
      </c>
      <c r="U11" s="16" t="inlineStr">
        <is>
          <t>Reiner Life-Science-Spezialist mit Therapeutika-Schwerpunkt; eine horizontale Data-Labeling-Plattform fällt vollständig außerhalb des Mandats. Nur der AI-Radiologie-Case Smart Reporting zeigt überhaupt Software-Berührung.</t>
        </is>
      </c>
      <c r="V11" s="16" t="inlineStr">
        <is>
          <t>Striktes Life-Science-Mandat schließt B2B-Infrastruktur aus; kein Software-/SaaS-Track-Record; kapitalintensive Biotech-Logik passt nicht zu Pre-Seed-Software</t>
        </is>
      </c>
      <c r="W11" s="16" t="inlineStr">
        <is>
          <t>Nur mit einem dedizierten Healthcare-Vertical (medizinische Bild- und Pathologie-Annotation, MDR/HIPAA-konform) ansprechbar – sonst kein Ansatzpunkt.</t>
        </is>
      </c>
      <c r="X11" s="18" t="n">
        <v>15</v>
      </c>
      <c r="Y11" s="18" t="n">
        <v>3</v>
      </c>
      <c r="Z11" s="18" t="n">
        <v>3</v>
      </c>
      <c r="AA11" s="18" t="n">
        <v>7</v>
      </c>
      <c r="AB11" s="18" t="n">
        <v>9</v>
      </c>
      <c r="AC11" s="18" t="inlineStr">
        <is>
          <t>Hoch</t>
        </is>
      </c>
      <c r="AD11" s="15" t="inlineStr">
        <is>
          <t>Bestandsliste</t>
        </is>
      </c>
      <c r="AE11" s="16" t="inlineStr">
        <is>
          <t>https://tvm-capital.com/</t>
        </is>
      </c>
      <c r="AF11" s="16" t="inlineStr">
        <is>
          <t>https://tvm-capital.com/about-us/, https://www.crunchbase.com/organization/tvm-capital-life-science, https://www.globenewswire.com/news-release/2025/10/16/3167640/0/en/TVM-Capital-Life-Science-Portfolio-Company-Smart-Reporting-to-Acquire-Fluency-for-Imaging-Uniting-to-Create-Jacobian-and-Accelerate-AI-Powered-Reporting.html</t>
        </is>
      </c>
    </row>
    <row r="12">
      <c r="A12" s="27" t="n">
        <v>8</v>
      </c>
      <c r="B12" s="28" t="inlineStr">
        <is>
          <t>Cadence Growth Capital</t>
        </is>
      </c>
      <c r="C12" s="29" t="inlineStr">
        <is>
          <t>D</t>
        </is>
      </c>
      <c r="D12" s="29" t="n">
        <v>36</v>
      </c>
      <c r="E12" s="15" t="inlineStr">
        <is>
          <t>Muenchen (zusaetzlich Berlin)</t>
        </is>
      </c>
      <c r="F12" s="18" t="inlineStr">
        <is>
          <t>DE</t>
        </is>
      </c>
      <c r="G12" s="15" t="inlineStr">
        <is>
          <t>Growth Equity / Private Equity</t>
        </is>
      </c>
      <c r="H12" s="16" t="inlineStr">
        <is>
          <t>Growth (Wachstumsfinanzierung ab belastbarem Umsatz)</t>
        </is>
      </c>
      <c r="I12" s="15" t="inlineStr">
        <is>
          <t>Ja, im Growth-Segment</t>
        </is>
      </c>
      <c r="J12" s="16" t="inlineStr">
        <is>
          <t>n/a (Growth-Tickets, nicht oeffentlich ausgewiesen)</t>
        </is>
      </c>
      <c r="K12" s="16" t="inlineStr">
        <is>
          <t>n/a (Fund I, Groesse nicht oeffentlich)</t>
        </is>
      </c>
      <c r="L12" s="15" t="inlineStr">
        <is>
          <t>Teilweise</t>
        </is>
      </c>
      <c r="M12" s="16" t="inlineStr">
        <is>
          <t>Asset-light, skalierbare, technologiegetriebene B2B-Services und Software im DACH-Raum</t>
        </is>
      </c>
      <c r="N12" s="16" t="inlineStr">
        <is>
          <t>Rund 11 Beteiligungen mit B2B-Tech-Bezug; keine belegten AI-/Data-Infra-Kerninvestments</t>
        </is>
      </c>
      <c r="O12" s="16" t="inlineStr">
        <is>
          <t>Keine belegte Relevanz</t>
        </is>
      </c>
      <c r="P12" s="16" t="inlineStr">
        <is>
          <t>Data-Infra-nah</t>
        </is>
      </c>
      <c r="Q12" s="16" t="inlineStr">
        <is>
          <t>n/a</t>
        </is>
      </c>
      <c r="R12" s="16" t="inlineStr">
        <is>
          <t>n/a</t>
        </is>
      </c>
      <c r="S12" s="16" t="inlineStr">
        <is>
          <t>n/a</t>
        </is>
      </c>
      <c r="T12" s="16" t="inlineStr">
        <is>
          <t>Kontaktformular auf cadencegrowthcapital.com</t>
        </is>
      </c>
      <c r="U12" s="16" t="inlineStr">
        <is>
          <t>Reiner Growth-Investor fuer bereits skalierende B2B-Tech-Unternehmen im DACH-Raum; fuer eine Pre-Seed-/Seed-Runde von PathWize kommt der Fonds mehrere Finanzierungsphasen zu frueh.</t>
        </is>
      </c>
      <c r="V12" s="16" t="inlineStr">
        <is>
          <t>Kein Fruehphasenmandat, verlangt substanzielle wiederkehrende Umsaetze; kleines Team, geringes Dealvolumen</t>
        </is>
      </c>
      <c r="W12" s="16" t="inlineStr">
        <is>
          <t>Erst bei siebenstelligem ARR als spaeterer Wachstumsinvestor auf die Watchlist setzen, nicht fuer die aktuelle Runde ansprechen.</t>
        </is>
      </c>
      <c r="X12" s="18" t="n">
        <v>4</v>
      </c>
      <c r="Y12" s="18" t="n">
        <v>12</v>
      </c>
      <c r="Z12" s="18" t="n">
        <v>4</v>
      </c>
      <c r="AA12" s="18" t="n">
        <v>6</v>
      </c>
      <c r="AB12" s="18" t="n">
        <v>10</v>
      </c>
      <c r="AC12" s="15" t="inlineStr">
        <is>
          <t>Mittel</t>
        </is>
      </c>
      <c r="AD12" s="15" t="inlineStr">
        <is>
          <t>Bestandsliste</t>
        </is>
      </c>
      <c r="AE12" s="16" t="inlineStr">
        <is>
          <t>https://www.cadencegrowthcapital.com/</t>
        </is>
      </c>
      <c r="AF12" s="16" t="inlineStr">
        <is>
          <t>https://www.cadencegrowthcapital.com/, https://www.crunchbase.com/organization/cadence-growth-capital, https://tracxn.com/d/private-equity/cadence-growth-capital</t>
        </is>
      </c>
    </row>
    <row r="13">
      <c r="A13" s="27" t="n">
        <v>9</v>
      </c>
      <c r="B13" s="28" t="inlineStr">
        <is>
          <t>Axel Springer Digital Ventures</t>
        </is>
      </c>
      <c r="C13" s="29" t="inlineStr">
        <is>
          <t>D</t>
        </is>
      </c>
      <c r="D13" s="29" t="n">
        <v>35</v>
      </c>
      <c r="E13" s="15" t="inlineStr">
        <is>
          <t>Berlin (Axel-Springer-Strasse 65, 10888)</t>
        </is>
      </c>
      <c r="F13" s="18" t="inlineStr">
        <is>
          <t>DE</t>
        </is>
      </c>
      <c r="G13" s="15" t="inlineStr">
        <is>
          <t>Corporate VC</t>
        </is>
      </c>
      <c r="H13" s="16" t="inlineStr">
        <is>
          <t>Seed, Series A (Fruehphasen-Arm der Axel Springer SE)</t>
        </is>
      </c>
      <c r="I13" s="15" t="inlineStr">
        <is>
          <t>Nein bzw. selten - strategischer Co-Investor</t>
        </is>
      </c>
      <c r="J13" s="16" t="inlineStr">
        <is>
          <t>n/a (Drittquellen nennen unplausibel hohe Spannen; belastbare Angabe nicht auffindbar)</t>
        </is>
      </c>
      <c r="K13" s="16" t="inlineStr">
        <is>
          <t>n/a (100-prozentige Tochter der Axel Springer SE, Bilanzkapital statt eigenstaendiger Fonds); ca. 15 Investments</t>
        </is>
      </c>
      <c r="L13" s="18" t="inlineStr">
        <is>
          <t>Nein</t>
        </is>
      </c>
      <c r="M13" s="16" t="inlineStr">
        <is>
          <t>Rubrikenmaerkte/Classifieds, Marktplaetze, Marketing-Modelle und Digital Publishing - strategisch an das Kerngeschaeft der Axel Springer SE angebunden</t>
        </is>
      </c>
      <c r="N13" s="16" t="inlineStr">
        <is>
          <t>Keine AI-/Data-Infrastruktur-Investments belegt; Portfolio schwerpunktmaessig Consumer und Enterprise Applications (historisch Airbnb, Uber; zuletzt Wunderflats, Anzu)</t>
        </is>
      </c>
      <c r="O13" s="16" t="inlineStr">
        <is>
          <t>Gering: kein Infrastruktur- oder ML-Tooling-Mandat, allenfalls indirekt ueber Medien-Content-Anwendungsfaelle</t>
        </is>
      </c>
      <c r="P13" s="16" t="inlineStr">
        <is>
          <t>Data-Infra-nah</t>
        </is>
      </c>
      <c r="Q13" s="16" t="inlineStr">
        <is>
          <t>Luise Gruner</t>
        </is>
      </c>
      <c r="R13" s="16" t="inlineStr">
        <is>
          <t>Managing Director</t>
        </is>
      </c>
      <c r="S13" s="16" t="inlineStr">
        <is>
          <t>n/a</t>
        </is>
      </c>
      <c r="T13" s="16" t="inlineStr">
        <is>
          <t>Axel-Springer-Strasse 65, 10888 Berlin, Tel. +49 30 2591 78000; Pitch-Formular n/a</t>
        </is>
      </c>
      <c r="U13" s="16" t="inlineStr">
        <is>
          <t>Strategischer Corporate-VC mit Fokus auf Classifieds, Marktplaetze und Digital Publishing - Data Labeling zahlt nicht auf die Konzernstrategie ein. Zusaetzlich ist die Investitionstaetigkeit 2026 praktisch zum Erliegen gekommen.</t>
        </is>
      </c>
      <c r="V13" s="16" t="inlineStr">
        <is>
          <t>Kaum bzw. keine neuen Investments 2026 laut Tracxn; kein eigenstaendiger Fonds und damit keine gesicherte Dry Powder; strategische statt finanzieller Investmentlogik; kein oeffentlicher Pitch-Kanal</t>
        </is>
      </c>
      <c r="W13" s="16" t="inlineStr">
        <is>
          <t>Nur ueber einen konkreten Medien-Anwendungsfall sinnvoll, etwa Annotation redaktioneller Inhalte oder Trainingsdaten fuer Publishing-KI innerhalb der Axel-Springer-Gruppe.</t>
        </is>
      </c>
      <c r="X13" s="18" t="n">
        <v>15</v>
      </c>
      <c r="Y13" s="18" t="n">
        <v>6</v>
      </c>
      <c r="Z13" s="18" t="n">
        <v>3</v>
      </c>
      <c r="AA13" s="18" t="n">
        <v>3</v>
      </c>
      <c r="AB13" s="18" t="n">
        <v>8</v>
      </c>
      <c r="AC13" s="15" t="inlineStr">
        <is>
          <t>Mittel</t>
        </is>
      </c>
      <c r="AD13" s="15" t="inlineStr">
        <is>
          <t>Bestandsliste</t>
        </is>
      </c>
      <c r="AE13" s="16" t="inlineStr">
        <is>
          <t>https://www.axelspringer.com/de/axel-springer-digital-ventures</t>
        </is>
      </c>
      <c r="AF13" s="16" t="inlineStr">
        <is>
          <t>https://www.axelspringer.com/de/axel-springer-digital-ventures, https://tracxn.com/d/venture-capital/axel-springer-digital-ventures/__Ecso9QQKb825he6GNHZqdZBbsr5uHL0T90sjHUy31iE, https://www.crunchbase.com/organization/axel-springer-digital-ventures-inc, https://app.dealroom.co/investors/axel_springer_digital_ventures</t>
        </is>
      </c>
    </row>
    <row r="14">
      <c r="A14" s="27" t="n">
        <v>10</v>
      </c>
      <c r="B14" s="28" t="inlineStr">
        <is>
          <t>Found Fair</t>
        </is>
      </c>
      <c r="C14" s="29" t="inlineStr">
        <is>
          <t>D</t>
        </is>
      </c>
      <c r="D14" s="29" t="n">
        <v>35</v>
      </c>
      <c r="E14" s="15" t="inlineStr">
        <is>
          <t>Berlin</t>
        </is>
      </c>
      <c r="F14" s="15" t="inlineStr">
        <is>
          <t>Deutschland</t>
        </is>
      </c>
      <c r="G14" s="15" t="inlineStr">
        <is>
          <t>Venture Builder / Company Builder (kein klassischer VC-Fonds)</t>
        </is>
      </c>
      <c r="H14" s="16" t="inlineStr">
        <is>
          <t>Pre-Seed und Seed, überwiegend jedoch in selbst gegründeten bzw. eigenen Beteiligungen</t>
        </is>
      </c>
      <c r="I14" s="15" t="inlineStr">
        <is>
          <t>Teilweise - als Company Builder eher Gründungsgesellschafter als externer Runden-Lead</t>
        </is>
      </c>
      <c r="J14" s="16" t="inlineStr">
        <is>
          <t>n/a (nicht veröffentlicht)</t>
        </is>
      </c>
      <c r="K14" s="16" t="inlineStr">
        <is>
          <t>n/a - kein ausgewiesener Fonds; über 150 Mitarbeitende im Verbund, 8 aktive Startups</t>
        </is>
      </c>
      <c r="L14" s="18" t="inlineStr">
        <is>
          <t>Nein</t>
        </is>
      </c>
      <c r="M14" s="16" t="inlineStr">
        <is>
          <t>Digitale Transformation der Bauwirtschaft und Green Building; historisch zusätzlich Fintech, AdTech, MedTech, Cloud/SaaS, IT-Security und E-Commerce. Aufbau eigener operativer Unternehmen seit 2010.</t>
        </is>
      </c>
      <c r="N14" s="16" t="inlineStr">
        <is>
          <t>n/a - aktuelle Portfoliounternehmen sind Meister Systems (Baustellen-Management-App) und Meister1 (digitale Angebotserstellung für Handwerk); keine belegten AI-/Data-Infrastruktur-Beteiligungen</t>
        </is>
      </c>
      <c r="O14" s="16" t="inlineStr">
        <is>
          <t>Gering: kein Data-/AI-Investmentfokus, kein MLOps- oder Annotation-Bezug, Schwerpunkt Bau- und Handwerkssoftware.</t>
        </is>
      </c>
      <c r="P14" s="16" t="inlineStr">
        <is>
          <t>Data-Infra-nah</t>
        </is>
      </c>
      <c r="Q14" s="16" t="inlineStr">
        <is>
          <t>Burckhardt Bonello</t>
        </is>
      </c>
      <c r="R14" s="16" t="inlineStr">
        <is>
          <t>CEO, Gründer und Investor (weiterer Partner: Philip Conrath)</t>
        </is>
      </c>
      <c r="S14" s="16" t="inlineStr">
        <is>
          <t>n/a</t>
        </is>
      </c>
      <c r="T14" s="16" t="inlineStr">
        <is>
          <t>info@foundfair.de ; Telefon +49 30 20006647 ; Große Präsidentenstr. 10, 10178 Berlin</t>
        </is>
      </c>
      <c r="U14" s="16" t="inlineStr">
        <is>
          <t>Found Fair ist ein Company Builder für Bau- und Green-Building-Software, der überwiegend eigene Unternehmen gründet statt extern in Startups zu investieren - weder Modell noch Sektorthese passen zu PathWize.</t>
        </is>
      </c>
      <c r="V14" s="16" t="inlineStr">
        <is>
          <t>Kein ausgewiesener Fonds und keine erkennbare externe Investitionstätigkeit; Builder-Modelle fordern typischerweise hohe Anteile. Kein AI-/Data-Bezug.</t>
        </is>
      </c>
      <c r="W14" s="16" t="inlineStr">
        <is>
          <t>Nicht als Investor priorisieren; allenfalls als potenzieller Pilotkunde für annotierte Bau- und Bilddaten der Meister-Produkte ansprechen.</t>
        </is>
      </c>
      <c r="X14" s="18" t="n">
        <v>12</v>
      </c>
      <c r="Y14" s="18" t="n">
        <v>6</v>
      </c>
      <c r="Z14" s="18" t="n">
        <v>3</v>
      </c>
      <c r="AA14" s="18" t="n">
        <v>4</v>
      </c>
      <c r="AB14" s="18" t="n">
        <v>10</v>
      </c>
      <c r="AC14" s="15" t="inlineStr">
        <is>
          <t>Mittel</t>
        </is>
      </c>
      <c r="AD14" s="15" t="inlineStr">
        <is>
          <t>Bestandsliste</t>
        </is>
      </c>
      <c r="AE14" s="16" t="inlineStr">
        <is>
          <t>https://foundfair.de/</t>
        </is>
      </c>
      <c r="AF14" s="16" t="inlineStr">
        <is>
          <t>https://foundfair.de/, https://pitchbook.com/profiles/investor/56382-94, https://www.cbinsights.com/company/found-fair, https://www.dnb.com/business-directory/company-profiles.found_fair_ventures_gmbh.600c97992149935b2e3b8ee05af1245b.html</t>
        </is>
      </c>
    </row>
    <row r="15">
      <c r="A15" s="27" t="n">
        <v>11</v>
      </c>
      <c r="B15" s="28" t="inlineStr">
        <is>
          <t>Trill Impact</t>
        </is>
      </c>
      <c r="C15" s="29" t="inlineStr">
        <is>
          <t>D</t>
        </is>
      </c>
      <c r="D15" s="29" t="n">
        <v>31</v>
      </c>
      <c r="E15" s="15" t="inlineStr">
        <is>
          <t>Stockholm</t>
        </is>
      </c>
      <c r="F15" s="15" t="inlineStr">
        <is>
          <t>Schweden (Präsenz u.a. in Deutschland/München)</t>
        </is>
      </c>
      <c r="G15" s="15" t="inlineStr">
        <is>
          <t>Impact-Investor (PE + Ventures-Arm)</t>
        </is>
      </c>
      <c r="H15" s="16" t="inlineStr">
        <is>
          <t>Ventures-Fonds: Early Stage (Seed/Series A); Kernhaus: Mid-Market-PE, Growth, Buyout</t>
        </is>
      </c>
      <c r="I15" s="15" t="inlineStr">
        <is>
          <t>Ja – im Ventures-Fonds als Lead/Co-Lead aktiv</t>
        </is>
      </c>
      <c r="J15" s="16" t="inlineStr">
        <is>
          <t>n/a (Ventures-Tickets im einstelligen Mio.-EUR-Bereich)</t>
        </is>
      </c>
      <c r="K15" s="16" t="inlineStr">
        <is>
          <t>Trill Impact Ventures Fund I: ca. 90 Mio. EUR; Gruppen-AUM deutlich höher (PE-Fonds)</t>
        </is>
      </c>
      <c r="L15" s="18" t="inlineStr">
        <is>
          <t>Nein</t>
        </is>
      </c>
      <c r="M15" s="16" t="inlineStr">
        <is>
          <t>Impact-Investing mit thematischem Schwerpunkt Life Science / Health (unterversorgte Patientengruppen) und Green Technology / Klima</t>
        </is>
      </c>
      <c r="N15" s="16" t="inlineStr">
        <is>
          <t>Soil Capital, May Health, MinervaX – Agrar, Medizintechnik, Drug Discovery; kein belegtes AI-/Data-Infrastruktur-Investment</t>
        </is>
      </c>
      <c r="O15" s="16" t="inlineStr">
        <is>
          <t>Sehr gering – reiner Impact-/Health-/Climate-Fokus, keine Berührung mit Trainingsdaten oder MLOps</t>
        </is>
      </c>
      <c r="P15" s="16" t="inlineStr">
        <is>
          <t>Data-Infra-nah</t>
        </is>
      </c>
      <c r="Q15" s="16" t="inlineStr">
        <is>
          <t>n/a</t>
        </is>
      </c>
      <c r="R15" s="16" t="inlineStr">
        <is>
          <t>n/a</t>
        </is>
      </c>
      <c r="S15" s="16" t="inlineStr">
        <is>
          <t>n/a</t>
        </is>
      </c>
      <c r="T15" s="16" t="inlineStr">
        <is>
          <t>n/a (Kontaktformular auf trillimpact.com)</t>
        </is>
      </c>
      <c r="U15" s="16" t="inlineStr">
        <is>
          <t>Reiner Impact-Investor mit Health- und Green-Tech-These; das Kernhaus macht Growth/Buyout, nur der kleine Ventures-Fonds ist früh unterwegs. Kein Anknüpfungspunkt zu Data Labeling oder AI-Infrastruktur.</t>
        </is>
      </c>
      <c r="V15" s="16" t="inlineStr">
        <is>
          <t>Kein AI-/Software-Track-Record; Impact-Mandat erfordert messbare ESG-Wirkung; Schwerpunkt Nordics statt DACH</t>
        </is>
      </c>
      <c r="W15" s="16" t="inlineStr">
        <is>
          <t>Nur sinnvoll, wenn PathWize eine harte Impact-Story (z.B. faire Arbeitsbedingungen und Löhne in der Datenannotation) mit messbaren KPIs vorlegen kann.</t>
        </is>
      </c>
      <c r="X15" s="18" t="n">
        <v>10</v>
      </c>
      <c r="Y15" s="18" t="n">
        <v>5</v>
      </c>
      <c r="Z15" s="18" t="n">
        <v>2</v>
      </c>
      <c r="AA15" s="18" t="n">
        <v>6</v>
      </c>
      <c r="AB15" s="18" t="n">
        <v>8</v>
      </c>
      <c r="AC15" s="15" t="inlineStr">
        <is>
          <t>Mittel</t>
        </is>
      </c>
      <c r="AD15" s="15" t="inlineStr">
        <is>
          <t>Bestandsliste</t>
        </is>
      </c>
      <c r="AE15" s="16" t="inlineStr">
        <is>
          <t>https://www.trillimpact.com/</t>
        </is>
      </c>
      <c r="AF15" s="16" t="inlineStr">
        <is>
          <t>https://www.trillimpact.com/ventures, https://www.trillimpact.com/insights/trill-impact-has-closed-its-inaugural-ventures-fund, https://www.crunchbase.com/organization/trill-impact</t>
        </is>
      </c>
    </row>
    <row r="16">
      <c r="A16" s="27" t="n">
        <v>12</v>
      </c>
      <c r="B16" s="28" t="inlineStr">
        <is>
          <t>Elevat3</t>
        </is>
      </c>
      <c r="C16" s="29" t="inlineStr">
        <is>
          <t>D</t>
        </is>
      </c>
      <c r="D16" s="29" t="n">
        <v>30</v>
      </c>
      <c r="E16" s="15" t="inlineStr">
        <is>
          <t>n/a (deutschsprachiger Raum; Muttergesellschaft Apeiron Investment Group, Malta/Monaco)</t>
        </is>
      </c>
      <c r="F16" s="15" t="inlineStr">
        <is>
          <t>Deutschland/Malta</t>
        </is>
      </c>
      <c r="G16" s="15" t="inlineStr">
        <is>
          <t>Growth-Venture-Fonds (Apeiron Investment Group, strategischer Partner: Founders Fund/Peter Thiel)</t>
        </is>
      </c>
      <c r="H16" s="16" t="inlineStr">
        <is>
          <t>Growth Venture (Wachstumsphase, i.d.R. nach Series A) - nicht Pre-Seed/Seed</t>
        </is>
      </c>
      <c r="I16" s="18" t="inlineStr">
        <is>
          <t>n/a</t>
        </is>
      </c>
      <c r="J16" s="16" t="inlineStr">
        <is>
          <t>n/a</t>
        </is>
      </c>
      <c r="K16" s="16" t="inlineStr">
        <is>
          <t>Elevat3 Capital I: ca. EUR 100 Mio. (EUR 20 Mio. von Apeiron, EUR 80 Mio. extern, u.a. Peter Thiel)</t>
        </is>
      </c>
      <c r="L16" s="18" t="inlineStr">
        <is>
          <t>Nein</t>
        </is>
      </c>
      <c r="M16" s="16" t="inlineStr">
        <is>
          <t>Tech-Startups im deutschsprachigen Raum mit Fokus auf Life Sciences, Deep Tech, FinTech, PropTech und InsurTech; Thiel-nahe 'Contrarian'-Deep-Tech-Logik.</t>
        </is>
      </c>
      <c r="N16" s="16" t="inlineStr">
        <is>
          <t>n/a - belegte Positionen sind Neodigital (Digitalversicherer), NAGA Group (FinTech) und im Umfeld ATAI Life Sciences; keine belegten AI-/Data-Infra-Investments</t>
        </is>
      </c>
      <c r="O16" s="16" t="inlineStr">
        <is>
          <t>Gering. Kein erkennbarer Bezug zu ML-Trainingsdaten oder Data-Infrastruktur.</t>
        </is>
      </c>
      <c r="P16" s="16" t="inlineStr">
        <is>
          <t>Data-Infra-nah</t>
        </is>
      </c>
      <c r="Q16" s="16" t="inlineStr">
        <is>
          <t>Christian Angermayer</t>
        </is>
      </c>
      <c r="R16" s="16" t="inlineStr">
        <is>
          <t>Gruender von Apeiron Investment Group / Initiator von Elevat3</t>
        </is>
      </c>
      <c r="S16" s="16" t="inlineStr">
        <is>
          <t>n/a</t>
        </is>
      </c>
      <c r="T16" s="16" t="inlineStr">
        <is>
          <t>n/a (Website liefert keine oeffentlichen Kontaktdaten; JS-only Seite)</t>
        </is>
      </c>
      <c r="U16" s="16" t="inlineStr">
        <is>
          <t>Elevat3 ist ein Growth-Venture-Vehikel (nach Series A) mit LifeScience-/FinTech-Schwerpunkt und ohne belegte AI-/Data-Infra-Deals - fuer eine Pre-Seed/Seed-Runde von PathWize praktisch irrelevant.</t>
        </is>
      </c>
      <c r="V16" s="16" t="inlineStr">
        <is>
          <t>Website ohne abrufbare Inhalte/Kontakt; kaum oeffentliche Deal-Aktivitaet seit 2022 auffindbar; Stage passt nicht; starke Abhaengigkeit von einem Family Office.</t>
        </is>
      </c>
      <c r="W16" s="16" t="inlineStr">
        <is>
          <t>Erst bei einer spaeteren Wachstumsrunde relevant - dann ueber den Apeiron-/Founders-Fund-Kontakt und ein Deep-Tech-Narrativ zu proprietaeren Trainingsdaten.</t>
        </is>
      </c>
      <c r="X16" s="18" t="n">
        <v>7</v>
      </c>
      <c r="Y16" s="18" t="n">
        <v>8</v>
      </c>
      <c r="Z16" s="18" t="n">
        <v>3</v>
      </c>
      <c r="AA16" s="18" t="n">
        <v>4</v>
      </c>
      <c r="AB16" s="18" t="n">
        <v>8</v>
      </c>
      <c r="AC16" s="15" t="inlineStr">
        <is>
          <t>Niedrig</t>
        </is>
      </c>
      <c r="AD16" s="15" t="inlineStr">
        <is>
          <t>Bestandsliste</t>
        </is>
      </c>
      <c r="AE16" s="16" t="inlineStr">
        <is>
          <t>https://www.elevat3.com</t>
        </is>
      </c>
      <c r="AF16" s="16" t="inlineStr">
        <is>
          <t>https://www.cnbc.com/2020/12/07/peter-thiels-founders-fund-partners-with-apeirons-elevat3-tech-fund.html, https://www.siliconrepublic.com/start-ups/elevat3-founders-fund-peter-thiel-christian-angermayer, https://sifted.eu/articles/peter-thiel-european-investments</t>
        </is>
      </c>
    </row>
    <row r="17">
      <c r="A17" s="27" t="n">
        <v>13</v>
      </c>
      <c r="B17" s="28" t="inlineStr">
        <is>
          <t>EMH Partners</t>
        </is>
      </c>
      <c r="C17" s="29" t="inlineStr">
        <is>
          <t>D</t>
        </is>
      </c>
      <c r="D17" s="29" t="n">
        <v>28</v>
      </c>
      <c r="E17" s="15" t="inlineStr">
        <is>
          <t>München</t>
        </is>
      </c>
      <c r="F17" s="15" t="inlineStr">
        <is>
          <t>Deutschland</t>
        </is>
      </c>
      <c r="G17" s="15" t="inlineStr">
        <is>
          <t>Growth-Equity / Private Equity</t>
        </is>
      </c>
      <c r="H17" s="16" t="inlineStr">
        <is>
          <t>Growth / Buyout (etablierte, profitable Tech-Unternehmen)</t>
        </is>
      </c>
      <c r="I17" s="15" t="inlineStr">
        <is>
          <t>Ja (Minderheits- und Mehrheitsbeteiligungen, 25-75%)</t>
        </is>
      </c>
      <c r="J17" s="16" t="inlineStr">
        <is>
          <t>ca. 50-200 Mio. EUR pro Investment</t>
        </is>
      </c>
      <c r="K17" s="16" t="inlineStr">
        <is>
          <t>über 1,5 Mrd. EUR committed capital</t>
        </is>
      </c>
      <c r="L17" s="15" t="inlineStr">
        <is>
          <t>Teilweise</t>
        </is>
      </c>
      <c r="M17" s="16" t="inlineStr">
        <is>
          <t>Technologiegetriebene europäische Mittelstandsunternehmen mit Fokus DACH; Software, Hardware, MedTech, Enterprise-Lösungen; Digitalisierung des Mittelstands</t>
        </is>
      </c>
      <c r="N17" s="16" t="inlineStr">
        <is>
          <t>Markup AI, Snke (AI/Big-Data in HealthTech), Stonebranch (Automatisierung), Brainlab, Native Instruments, DIGITEC, Cleverbridge</t>
        </is>
      </c>
      <c r="O17" s="16" t="inlineStr">
        <is>
          <t>Gering - keine Investments in Trainingsdaten, Annotation oder ML-Infrastruktur belegbar; Fokus auf profitable Softwareunternehmen mit zweistelligen Mio.-Umsätzen</t>
        </is>
      </c>
      <c r="P17" s="16" t="inlineStr">
        <is>
          <t>-</t>
        </is>
      </c>
      <c r="Q17" s="16" t="inlineStr">
        <is>
          <t>n/a</t>
        </is>
      </c>
      <c r="R17" s="16" t="inlineStr">
        <is>
          <t>n/a</t>
        </is>
      </c>
      <c r="S17" s="16" t="inlineStr">
        <is>
          <t>n/a</t>
        </is>
      </c>
      <c r="T17" s="16" t="inlineStr">
        <is>
          <t>mail@emh.com</t>
        </is>
      </c>
      <c r="U17" s="16" t="inlineStr">
        <is>
          <t>EMH ist ein Growth-Equity-Investor mit Tickets von 50-200 Mio. EUR in bereits profitable Unternehmen und damit strukturell inkompatibel mit einer Pre-Seed/Seed/Series-A-Runde von PathWize. AI wird nur punktuell (Markup AI, Snke) adressiert, eine Data-Infrastruktur-These fehlt.</t>
        </is>
      </c>
      <c r="V17" s="16" t="inlineStr">
        <is>
          <t>Kein Frühphaseninvestor; Mindestticket weit über PathWize-Bedarf; verlangt Profitabilität und 5-50 Mio. EUR+ Umsatz; keine AI-/Data-Infra-These</t>
        </is>
      </c>
      <c r="W17" s="16" t="inlineStr">
        <is>
          <t>Erst in mehreren Jahren relevant - PathWize sollte EMH als potenziellen Growth-/Buyout-Partner für die Zeit nach Erreichen von 10 Mio. EUR ARR und Profitabilität vormerken, nicht jetzt ansprechen.</t>
        </is>
      </c>
      <c r="X17" s="18" t="n">
        <v>2</v>
      </c>
      <c r="Y17" s="18" t="n">
        <v>8</v>
      </c>
      <c r="Z17" s="18" t="n">
        <v>5</v>
      </c>
      <c r="AA17" s="18" t="n">
        <v>3</v>
      </c>
      <c r="AB17" s="18" t="n">
        <v>10</v>
      </c>
      <c r="AC17" s="18" t="inlineStr">
        <is>
          <t>Hoch</t>
        </is>
      </c>
      <c r="AD17" s="15" t="inlineStr">
        <is>
          <t>Bestandsliste</t>
        </is>
      </c>
      <c r="AE17" s="16" t="inlineStr">
        <is>
          <t>https://emh.com/</t>
        </is>
      </c>
      <c r="AF17" s="16" t="inlineStr">
        <is>
          <t>https://emh.com/, https://emh.com/investments/, https://www.crunchbase.com/organization/european-media-holding-ag, https://tracxn.com/d/private-equity/emhpartners</t>
        </is>
      </c>
    </row>
    <row r="18">
      <c r="A18" s="27" t="n">
        <v>14</v>
      </c>
      <c r="B18" s="28" t="inlineStr">
        <is>
          <t>VAERING</t>
        </is>
      </c>
      <c r="C18" s="29" t="inlineStr">
        <is>
          <t>D</t>
        </is>
      </c>
      <c r="D18" s="29" t="n">
        <v>24</v>
      </c>
      <c r="E18" s="15" t="inlineStr">
        <is>
          <t>Hamburg</t>
        </is>
      </c>
      <c r="F18" s="15" t="inlineStr">
        <is>
          <t>Deutschland</t>
        </is>
      </c>
      <c r="G18" s="15" t="inlineStr">
        <is>
          <t>Family Office / Familienholding (Unternehmerfamilie hinter KAEFER)</t>
        </is>
      </c>
      <c r="H18" s="16" t="inlineStr">
        <is>
          <t>Etablierte mittelständische Unternehmen, qualifizierte Minderheits- bis Mehrheitsbeteiligungen (kein klassisches Venture)</t>
        </is>
      </c>
      <c r="I18" s="15" t="inlineStr">
        <is>
          <t>Ja – als Mehrheits-/Ankerinvestor bei Beteiligungen, aber nicht in VC-Finanzierungsrunden</t>
        </is>
      </c>
      <c r="J18" s="16" t="inlineStr">
        <is>
          <t>n/a</t>
        </is>
      </c>
      <c r="K18" s="16" t="inlineStr">
        <is>
          <t>n/a (Evergreen-Familienholding, gegründet 2021)</t>
        </is>
      </c>
      <c r="L18" s="18" t="inlineStr">
        <is>
          <t>Nein</t>
        </is>
      </c>
      <c r="M18" s="16" t="inlineStr">
        <is>
          <t>Nachhaltigkeitsgetriebene mittelständische Unternehmen in Europa; Buy-and-hold mit langfristigem Horizont, kein Exit-Fokus</t>
        </is>
      </c>
      <c r="N18" s="16" t="inlineStr">
        <is>
          <t>n/a – kein belegtes AI-, Data-Infrastruktur- oder Software-Investment</t>
        </is>
      </c>
      <c r="O18" s="16" t="inlineStr">
        <is>
          <t>Sehr gering – Mittelstands-Beteiligungsmodell ohne Tech-Venture-Logik</t>
        </is>
      </c>
      <c r="P18" s="16" t="inlineStr">
        <is>
          <t>Data-Infra-nah</t>
        </is>
      </c>
      <c r="Q18" s="16" t="inlineStr">
        <is>
          <t>Moritz Koch</t>
        </is>
      </c>
      <c r="R18" s="16" t="inlineStr">
        <is>
          <t>Co-Geschäftsführer VAERING (neben Claas Fierlings); Investment Manager u.a. Torben Nowak</t>
        </is>
      </c>
      <c r="S18" s="16" t="inlineStr">
        <is>
          <t>n/a</t>
        </is>
      </c>
      <c r="T18" s="16" t="inlineStr">
        <is>
          <t>n/a (Kontakt über vaering.de)</t>
        </is>
      </c>
      <c r="U18" s="16" t="inlineStr">
        <is>
          <t>Familienholding für etablierte, nachhaltigkeitsorientierte Mittelständler mit Mehrheitsbeteiligungen – kein Pre-Seed-/Seed-Venture-Investor. Kein AI- oder Software-Track-Record.</t>
        </is>
      </c>
      <c r="V18" s="16" t="inlineStr">
        <is>
          <t>Falsche Assetklasse (Buy-and-hold-Beteiligungen statt VC); kein Frühphasen-Mandat; keine Tech-These</t>
        </is>
      </c>
      <c r="W18" s="16" t="inlineStr">
        <is>
          <t>Nicht empfohlen – allenfalls sehr viel später als strategischer Langfrist-Ankerinvestor bei bereits profitablem Geschäftsmodell.</t>
        </is>
      </c>
      <c r="X18" s="18" t="n">
        <v>3</v>
      </c>
      <c r="Y18" s="18" t="n">
        <v>4</v>
      </c>
      <c r="Z18" s="18" t="n">
        <v>2</v>
      </c>
      <c r="AA18" s="18" t="n">
        <v>5</v>
      </c>
      <c r="AB18" s="18" t="n">
        <v>10</v>
      </c>
      <c r="AC18" s="15" t="inlineStr">
        <is>
          <t>Mittel</t>
        </is>
      </c>
      <c r="AD18" s="15" t="inlineStr">
        <is>
          <t>Bestandsliste</t>
        </is>
      </c>
      <c r="AE18" s="16" t="inlineStr">
        <is>
          <t>https://www.vaering.de/</t>
        </is>
      </c>
      <c r="AF18" s="16" t="inlineStr">
        <is>
          <t>https://www.vaering.de/, https://www.vaering.de/beteiligungen, https://pitchbook.com/profiles/investor/521535-97</t>
        </is>
      </c>
    </row>
    <row r="19">
      <c r="A19" s="27" t="n">
        <v>15</v>
      </c>
      <c r="B19" s="28" t="inlineStr">
        <is>
          <t>Flex Capital</t>
        </is>
      </c>
      <c r="C19" s="29" t="inlineStr">
        <is>
          <t>D</t>
        </is>
      </c>
      <c r="D19" s="29" t="n">
        <v>23</v>
      </c>
      <c r="E19" s="15" t="inlineStr">
        <is>
          <t>Berlin (Büro München)</t>
        </is>
      </c>
      <c r="F19" s="15" t="inlineStr">
        <is>
          <t>Deutschland</t>
        </is>
      </c>
      <c r="G19" s="15" t="inlineStr">
        <is>
          <t>Operational Private Equity / Software-Buyout</t>
        </is>
      </c>
      <c r="H19" s="16" t="inlineStr">
        <is>
          <t>Buyout, Mehrheitsbeteiligungen, Nachfolge, Carve-outs, MBO</t>
        </is>
      </c>
      <c r="I19" s="15" t="inlineStr">
        <is>
          <t>Ja (übernimmt Mehrheiten, keine VC-Runden)</t>
        </is>
      </c>
      <c r="J19" s="16" t="inlineStr">
        <is>
          <t>Zielunternehmen mit 5-50 Mio. EUR Umsatz, typisch ca. 6-7 Mio. EUR Umsatz und ca. 2 Mio. EUR EBITDA</t>
        </is>
      </c>
      <c r="K19" s="16" t="inlineStr">
        <is>
          <t>ca. 426 Mio. EUR AUM; Fund I 126 Mio. EUR (2019), Fund II 300 Mio. EUR</t>
        </is>
      </c>
      <c r="L19" s="18" t="inlineStr">
        <is>
          <t>Nein</t>
        </is>
      </c>
      <c r="M19" s="16" t="inlineStr">
        <is>
          <t>Bootstrapped, profitable Software- und Tech-Unternehmen im DACH-Mittelstand; Buy-and-Build-Plattformen in vertikalen Software-Nischen mit 30-köpfigem Operating-Team</t>
        </is>
      </c>
      <c r="N19" s="16" t="inlineStr">
        <is>
          <t>Keine belegten AI-/Data-Infra-Investments; Portfolio besteht aus über einem Dutzend vertikaler Software-Unternehmen im DACH-Mittelstand</t>
        </is>
      </c>
      <c r="O19" s="16" t="inlineStr">
        <is>
          <t>Keine - Flex kauft profitable, etablierte Softwarefirmen und finanziert keine Startups</t>
        </is>
      </c>
      <c r="P19" s="16" t="inlineStr">
        <is>
          <t>Data-Infra-nah</t>
        </is>
      </c>
      <c r="Q19" s="16" t="inlineStr">
        <is>
          <t>Christoph Jost</t>
        </is>
      </c>
      <c r="R19" s="16" t="inlineStr">
        <is>
          <t>Gründungspartner (gemeinsam mit Peter Waleczek)</t>
        </is>
      </c>
      <c r="S19" s="16" t="inlineStr">
        <is>
          <t>n/a</t>
        </is>
      </c>
      <c r="T19" s="16" t="inlineStr">
        <is>
          <t>kontakt@flex.capital</t>
        </is>
      </c>
      <c r="U19" s="16" t="inlineStr">
        <is>
          <t>Flex Capital ist ein Buyout-Fonds, der Mehrheiten an profitablen, bootstrapped Softwarefirmen mit 5-50 Mio. EUR Umsatz übernimmt und damit keinerlei Venture-Finanzierung anbietet. Es gibt weder eine AI-/Data-These noch Frühphasen-Tickets.</t>
        </is>
      </c>
      <c r="V19" s="16" t="inlineStr">
        <is>
          <t>Kein Venture-Investor; verlangt Profitabilität und Mehrheitsübernahme; keine AI-/Data-Infra-These; für ein Pre-Seed-Startup vollständig ungeeignet</t>
        </is>
      </c>
      <c r="W19" s="16" t="inlineStr">
        <is>
          <t>Aktuell nicht ansprechen - Flex wäre erst in vielen Jahren als Exit-Käufer für ein profitables, bootstrapped PathWize relevant.</t>
        </is>
      </c>
      <c r="X19" s="18" t="n">
        <v>0</v>
      </c>
      <c r="Y19" s="18" t="n">
        <v>6</v>
      </c>
      <c r="Z19" s="18" t="n">
        <v>3</v>
      </c>
      <c r="AA19" s="18" t="n">
        <v>4</v>
      </c>
      <c r="AB19" s="18" t="n">
        <v>10</v>
      </c>
      <c r="AC19" s="18" t="inlineStr">
        <is>
          <t>Hoch</t>
        </is>
      </c>
      <c r="AD19" s="15" t="inlineStr">
        <is>
          <t>Bestandsliste</t>
        </is>
      </c>
      <c r="AE19" s="16" t="inlineStr">
        <is>
          <t>https://www.flex.capital/en/</t>
        </is>
      </c>
      <c r="AF19" s="16" t="inlineStr">
        <is>
          <t>https://www.flex.capital/en/, https://www.flex.capital/en/our-investment-approach/, https://www.gp-intel.com/gp/flex-capital, https://rollupeurope.com/p/flexing-berlin-germanys-smartest-software-buy-builder</t>
        </is>
      </c>
    </row>
    <row r="20">
      <c r="A20" s="27" t="n">
        <v>16</v>
      </c>
      <c r="B20" s="28" t="inlineStr">
        <is>
          <t>Human Impact Capital</t>
        </is>
      </c>
      <c r="C20" s="29" t="inlineStr">
        <is>
          <t>D</t>
        </is>
      </c>
      <c r="D20" s="29" t="n">
        <v>18</v>
      </c>
      <c r="E20" s="18" t="inlineStr">
        <is>
          <t>n/a</t>
        </is>
      </c>
      <c r="F20" s="18" t="inlineStr">
        <is>
          <t>n/a</t>
        </is>
      </c>
      <c r="G20" s="15" t="inlineStr">
        <is>
          <t>n/a (vermutlich Impact-/Frueh-Phasen-Investor - nicht verifizierbar)</t>
        </is>
      </c>
      <c r="H20" s="16" t="inlineStr">
        <is>
          <t>n/a</t>
        </is>
      </c>
      <c r="I20" s="18" t="inlineStr">
        <is>
          <t>n/a</t>
        </is>
      </c>
      <c r="J20" s="16" t="inlineStr">
        <is>
          <t>n/a</t>
        </is>
      </c>
      <c r="K20" s="16" t="inlineStr">
        <is>
          <t>n/a</t>
        </is>
      </c>
      <c r="L20" s="18" t="inlineStr">
        <is>
          <t>Nein</t>
        </is>
      </c>
      <c r="M20" s="16" t="inlineStr">
        <is>
          <t>n/a - keine belastbare oeffentliche Quelle auffindbar; der Name deutet auf einen Impact-/Human-Capital-Fokus hin, was ohne Beleg jedoch nicht bewertbar ist.</t>
        </is>
      </c>
      <c r="N20" s="16" t="inlineStr">
        <is>
          <t>n/a</t>
        </is>
      </c>
      <c r="O20" s="16" t="inlineStr">
        <is>
          <t>n/a - nicht bewertbar.</t>
        </is>
      </c>
      <c r="P20" s="16" t="inlineStr">
        <is>
          <t>-</t>
        </is>
      </c>
      <c r="Q20" s="16" t="inlineStr">
        <is>
          <t>n/a</t>
        </is>
      </c>
      <c r="R20" s="16" t="inlineStr">
        <is>
          <t>n/a</t>
        </is>
      </c>
      <c r="S20" s="16" t="inlineStr">
        <is>
          <t>n/a</t>
        </is>
      </c>
      <c r="T20" s="16" t="inlineStr">
        <is>
          <t>n/a</t>
        </is>
      </c>
      <c r="U20" s="16" t="inlineStr">
        <is>
          <t>Zu diesem Namen liess sich keine aktive, verifizierbare VC-Organisation belegen (Website nicht erreichbar, keine bestaetigten Deals) - ein Fit ist daher nicht bewertbar.</t>
        </is>
      </c>
      <c r="V20" s="16" t="inlineStr">
        <is>
          <t>SCHWERWIEGEND: Existenz, Standort, Fondsvolumen, Team und Portfolio nicht verifizierbar; moeglicherweise veralteter Listeneintrag oder Namensverwechslung. Vor Outreach manuell pruefen.</t>
        </is>
      </c>
      <c r="W20" s="16" t="inlineStr">
        <is>
          <t>Vor jeder Ansprache Identitaet klaeren (LinkedIn/Handelsregister); erst danach ueber eine Impact-Story zur Labeling-Workforce anknuepfen.</t>
        </is>
      </c>
      <c r="X20" s="18" t="n">
        <v>8</v>
      </c>
      <c r="Y20" s="18" t="n">
        <v>4</v>
      </c>
      <c r="Z20" s="18" t="n">
        <v>0</v>
      </c>
      <c r="AA20" s="18" t="n">
        <v>2</v>
      </c>
      <c r="AB20" s="18" t="n">
        <v>4</v>
      </c>
      <c r="AC20" s="15" t="inlineStr">
        <is>
          <t>Niedrig</t>
        </is>
      </c>
      <c r="AD20" s="15" t="inlineStr">
        <is>
          <t>Bestandsliste</t>
        </is>
      </c>
      <c r="AE20" s="16" t="inlineStr">
        <is>
          <t>n/a (keine verifizierbare Website auffindbar)</t>
        </is>
      </c>
      <c r="AF20" s="16" t="inlineStr">
        <is>
          <t>n/a - Website-Aufrufe (humanimpact.capital, humanimpactcapital.com) fehlgeschlagen, keine belastbare Sekundaerquelle gefunden</t>
        </is>
      </c>
    </row>
    <row r="21">
      <c r="A21" s="27" t="n">
        <v>17</v>
      </c>
      <c r="B21" s="28" t="inlineStr">
        <is>
          <t>neosfer GmbH</t>
        </is>
      </c>
      <c r="C21" s="29" t="inlineStr">
        <is>
          <t>D</t>
        </is>
      </c>
      <c r="D21" s="29" t="n">
        <v>2</v>
      </c>
      <c r="E21" s="15" t="inlineStr">
        <is>
          <t>Frankfurt am Main</t>
        </is>
      </c>
      <c r="F21" s="15" t="inlineStr">
        <is>
          <t>Deutschland</t>
        </is>
      </c>
      <c r="G21" s="15" t="inlineStr">
        <is>
          <t>Corporate VC (Commerzbank-Gruppe)</t>
        </is>
      </c>
      <c r="H21" s="16" t="inlineStr">
        <is>
          <t>ehemals Seed, Series A — aktuell keine</t>
        </is>
      </c>
      <c r="I21" s="15" t="inlineStr">
        <is>
          <t>Nein — keine Investmenttätigkeit mehr</t>
        </is>
      </c>
      <c r="J21" s="16" t="inlineStr">
        <is>
          <t>n/a</t>
        </is>
      </c>
      <c r="K21" s="16" t="inlineStr">
        <is>
          <t>n/a</t>
        </is>
      </c>
      <c r="L21" s="18" t="inlineStr">
        <is>
          <t>Nein</t>
        </is>
      </c>
      <c r="M21" s="16" t="inlineStr">
        <is>
          <t>ehemals Fintech / Digitalisierung im Finanzsektor; These nicht mehr aktiv</t>
        </is>
      </c>
      <c r="N21" s="16" t="inlineStr">
        <is>
          <t>n/a — keine aktuelle Portfolioinformation verfügbar, Website enthält nur noch eine Abschiedsmitteilung</t>
        </is>
      </c>
      <c r="O21" s="16" t="inlineStr">
        <is>
          <t>Keine — Einheit existiert nicht mehr</t>
        </is>
      </c>
      <c r="P21" s="16" t="inlineStr">
        <is>
          <t>-</t>
        </is>
      </c>
      <c r="Q21" s="16" t="inlineStr">
        <is>
          <t>n/a</t>
        </is>
      </c>
      <c r="R21" s="16" t="inlineStr">
        <is>
          <t>n/a</t>
        </is>
      </c>
      <c r="S21" s="16" t="inlineStr">
        <is>
          <t>n/a</t>
        </is>
      </c>
      <c r="T21" s="16" t="inlineStr">
        <is>
          <t>kontakt@neosfer.com (nur noch Restabwicklung)</t>
        </is>
      </c>
      <c r="U21" s="16" t="inlineStr">
        <is>
          <t>neosfer hat den Betrieb zum 30. Juni 2026 vollständig eingestellt und tätigt keine Investments mehr — ein Fit besteht damit nicht.</t>
        </is>
      </c>
      <c r="V21" s="16" t="inlineStr">
        <is>
          <t>Fonds geschlossen: 'neosfer hat den Betrieb zum 30. Juni 2026 eingestellt'; Website enthält nur noch eine Abschiedsbotschaft nach 13 Jahren; Ansprache wäre reine Zeitverschwendung</t>
        </is>
      </c>
      <c r="W21" s="16" t="inlineStr">
        <is>
          <t>Nicht ansprechen — stattdessen prüfen, wohin die ehemaligen neosfer-Investment-Manager gewechselt sind, und diese Personen bei ihrem neuen Fonds kontaktieren.</t>
        </is>
      </c>
      <c r="X21" s="18" t="n">
        <v>0</v>
      </c>
      <c r="Y21" s="18" t="n">
        <v>0</v>
      </c>
      <c r="Z21" s="18" t="n">
        <v>0</v>
      </c>
      <c r="AA21" s="18" t="n">
        <v>0</v>
      </c>
      <c r="AB21" s="18" t="n">
        <v>2</v>
      </c>
      <c r="AC21" s="18" t="inlineStr">
        <is>
          <t>Hoch</t>
        </is>
      </c>
      <c r="AD21" s="15" t="inlineStr">
        <is>
          <t>Bestandsliste</t>
        </is>
      </c>
      <c r="AE21" s="16" t="inlineStr">
        <is>
          <t>https://neosfer.de/</t>
        </is>
      </c>
      <c r="AF21" s="16" t="inlineStr">
        <is>
          <t>https://neosfer.de/</t>
        </is>
      </c>
    </row>
  </sheetData>
  <autoFilter ref="A4:AF21"/>
  <mergeCells count="2">
    <mergeCell ref="A1:AF1"/>
    <mergeCell ref="A2:AF2"/>
  </mergeCells>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AF19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6" customWidth="1" min="3" max="3"/>
    <col width="7" customWidth="1" min="4" max="4"/>
    <col width="14" customWidth="1" min="5" max="5"/>
    <col width="7" customWidth="1" min="6" max="6"/>
    <col width="14" customWidth="1" min="7" max="7"/>
    <col width="22" customWidth="1" min="8" max="8"/>
    <col width="12" customWidth="1" min="9" max="9"/>
    <col width="20" customWidth="1" min="10" max="10"/>
    <col width="24" customWidth="1" min="11" max="11"/>
    <col width="12" customWidth="1" min="12" max="12"/>
    <col width="42" customWidth="1" min="13" max="13"/>
    <col width="40" customWidth="1" min="14" max="14"/>
    <col width="34" customWidth="1" min="15" max="15"/>
    <col width="32" customWidth="1" min="16" max="16"/>
    <col width="22" customWidth="1" min="17" max="17"/>
    <col width="20" customWidth="1" min="18" max="18"/>
    <col width="30" customWidth="1" min="19" max="19"/>
    <col width="30" customWidth="1" min="20" max="20"/>
    <col width="48" customWidth="1" min="21" max="21"/>
    <col width="34" customWidth="1" min="22" max="22"/>
    <col width="46" customWidth="1" min="23" max="23"/>
    <col width="9" customWidth="1" min="24" max="24"/>
    <col width="9" customWidth="1" min="25" max="25"/>
    <col width="11" customWidth="1" min="26" max="26"/>
    <col width="11" customWidth="1" min="27" max="27"/>
    <col width="9" customWidth="1" min="28" max="28"/>
    <col width="11" customWidth="1" min="29" max="29"/>
    <col width="20" customWidth="1" min="30" max="30"/>
    <col width="28" customWidth="1" min="31" max="31"/>
    <col width="46" customWidth="1" min="32" max="32"/>
  </cols>
  <sheetData>
    <row r="1" ht="28" customHeight="1">
      <c r="A1" s="1" t="inlineStr">
        <is>
          <t>Master-Liste – alle recherchierten VCs</t>
        </is>
      </c>
    </row>
    <row r="2" ht="18" customHeight="1">
      <c r="A2" s="2" t="inlineStr">
        <is>
          <t>Vollstaendiger Datensatz, nach Score sortiert. Ueber die Filter in Zeile 4 eingrenzen.</t>
        </is>
      </c>
    </row>
    <row r="4" ht="34" customHeight="1">
      <c r="A4" s="11" t="inlineStr">
        <is>
          <t>Rang</t>
        </is>
      </c>
      <c r="B4" s="11" t="inlineStr">
        <is>
          <t>VC / Fonds</t>
        </is>
      </c>
      <c r="C4" s="11" t="inlineStr">
        <is>
          <t>Tier</t>
        </is>
      </c>
      <c r="D4" s="11" t="inlineStr">
        <is>
          <t>Score</t>
        </is>
      </c>
      <c r="E4" s="11" t="inlineStr">
        <is>
          <t>Stadt</t>
        </is>
      </c>
      <c r="F4" s="11" t="inlineStr">
        <is>
          <t>Land</t>
        </is>
      </c>
      <c r="G4" s="11" t="inlineStr">
        <is>
          <t>Typ</t>
        </is>
      </c>
      <c r="H4" s="11" t="inlineStr">
        <is>
          <t>Stage-Fokus</t>
        </is>
      </c>
      <c r="I4" s="11" t="inlineStr">
        <is>
          <t>Leads Runden?</t>
        </is>
      </c>
      <c r="J4" s="11" t="inlineStr">
        <is>
          <t>Ticket-Size</t>
        </is>
      </c>
      <c r="K4" s="11" t="inlineStr">
        <is>
          <t>Fondsgroesse / AUM</t>
        </is>
      </c>
      <c r="L4" s="11" t="inlineStr">
        <is>
          <t>AI/Data-Fokus</t>
        </is>
      </c>
      <c r="M4" s="11" t="inlineStr">
        <is>
          <t>Sektor-These</t>
        </is>
      </c>
      <c r="N4" s="11" t="inlineStr">
        <is>
          <t>Portfolio AI / Data-Infra</t>
        </is>
      </c>
      <c r="O4" s="11" t="inlineStr">
        <is>
          <t>Data-Labeling-Relevanz</t>
        </is>
      </c>
      <c r="P4" s="11" t="inlineStr">
        <is>
          <t>Labeling-Signal</t>
        </is>
      </c>
      <c r="Q4" s="11" t="inlineStr">
        <is>
          <t>Relevanter Partner</t>
        </is>
      </c>
      <c r="R4" s="11" t="inlineStr">
        <is>
          <t>Rolle</t>
        </is>
      </c>
      <c r="S4" s="11" t="inlineStr">
        <is>
          <t>LinkedIn</t>
        </is>
      </c>
      <c r="T4" s="11" t="inlineStr">
        <is>
          <t>Kontakt</t>
        </is>
      </c>
      <c r="U4" s="11" t="inlineStr">
        <is>
          <t>Fit-Begruendung</t>
        </is>
      </c>
      <c r="V4" s="11" t="inlineStr">
        <is>
          <t>Red Flags</t>
        </is>
      </c>
      <c r="W4" s="11" t="inlineStr">
        <is>
          <t>Outreach-Angle</t>
        </is>
      </c>
      <c r="X4" s="11" t="inlineStr">
        <is>
          <t>Stage (30)</t>
        </is>
      </c>
      <c r="Y4" s="11" t="inlineStr">
        <is>
          <t>These (30)</t>
        </is>
      </c>
      <c r="Z4" s="11" t="inlineStr">
        <is>
          <t>Portfolio (20)</t>
        </is>
      </c>
      <c r="AA4" s="11" t="inlineStr">
        <is>
          <t>Aktivitaet (10)</t>
        </is>
      </c>
      <c r="AB4" s="11" t="inlineStr">
        <is>
          <t>Geo (10)</t>
        </is>
      </c>
      <c r="AC4" s="11" t="inlineStr">
        <is>
          <t>Konfidenz</t>
        </is>
      </c>
      <c r="AD4" s="11" t="inlineStr">
        <is>
          <t>Herkunft</t>
        </is>
      </c>
      <c r="AE4" s="11" t="inlineStr">
        <is>
          <t>Website</t>
        </is>
      </c>
      <c r="AF4" s="11" t="inlineStr">
        <is>
          <t>Quellen</t>
        </is>
      </c>
    </row>
    <row r="5">
      <c r="A5" s="12" t="n">
        <v>1</v>
      </c>
      <c r="B5" s="14" t="inlineStr">
        <is>
          <t>Air Street Capital</t>
        </is>
      </c>
      <c r="C5" s="13" t="inlineStr">
        <is>
          <t>A</t>
        </is>
      </c>
      <c r="D5" s="13" t="n">
        <v>98</v>
      </c>
      <c r="E5" s="15" t="inlineStr">
        <is>
          <t>London</t>
        </is>
      </c>
      <c r="F5" s="18" t="inlineStr">
        <is>
          <t>UK</t>
        </is>
      </c>
      <c r="G5" s="15" t="inlineStr">
        <is>
          <t>VC (Solo-GP)</t>
        </is>
      </c>
      <c r="H5" s="16" t="inlineStr">
        <is>
          <t>Pre-Seed / Seed (fuehrt Runden an), selektiv Growth bis 25 Mio. USD</t>
        </is>
      </c>
      <c r="I5" s="15" t="inlineStr">
        <is>
          <t>Ja - fuehrt Early-Stage-Runden explizit an</t>
        </is>
      </c>
      <c r="J5" s="16" t="inlineStr">
        <is>
          <t>0,5-15 Mio. USD Erstticket, Growth bis 25 Mio. USD</t>
        </is>
      </c>
      <c r="K5" s="16" t="inlineStr">
        <is>
          <t>232 Mio. USD (Fund III, Maerz 2026); Fund II 121 Mio., Fund I 17 Mio. USD</t>
        </is>
      </c>
      <c r="L5" s="18" t="inlineStr">
        <is>
          <t>Ja</t>
        </is>
      </c>
      <c r="M5" s="16" t="inlineStr">
        <is>
          <t>Ausschliesslich AI-first Companies, bei denen AI das Produkt ist. Vier Felder: Software, Science, Physical World, neu Defence. Investiert in Nordamerika und Europa.</t>
        </is>
      </c>
      <c r="N5" s="16" t="inlineStr">
        <is>
          <t>V7 (Computer-Vision-Trainingsdatenplattform), Chroma (Vector DB), Lambda (GPU-Cloud), Crusoe (AI-Infra), poolside, Contextual.ai, Kradle (Evals), Synthesia, Black Forest Labs, Interloom (DE)</t>
        </is>
      </c>
      <c r="O5" s="16" t="inlineStr">
        <is>
          <t>Sehr hoch - V7 Labs ist ein direktes Trainingsdaten-/Annotation-Investment; Nathan Benaich versteht den Trainingsdaten-Markt aus dem State-of-AI-Report</t>
        </is>
      </c>
      <c r="P5" s="16" t="inlineStr">
        <is>
          <t>DIREKT: V7 – Wettbewerbskonflikt pruefen</t>
        </is>
      </c>
      <c r="Q5" s="16" t="inlineStr">
        <is>
          <t>Nathan Benaich</t>
        </is>
      </c>
      <c r="R5" s="16" t="inlineStr">
        <is>
          <t>Founder &amp; Solo General Partner, Autor 'State of AI Report'</t>
        </is>
      </c>
      <c r="S5" s="16" t="inlineStr">
        <is>
          <t>n/a</t>
        </is>
      </c>
      <c r="T5" s="16" t="inlineStr">
        <is>
          <t>Kein oeffentliches Pitch-Formular gefunden; Kontakt via LinkedIn (linkedin.com/company/airstreetcapital) oder X @airstreet</t>
        </is>
      </c>
      <c r="U5" s="16" t="inlineStr">
        <is>
          <t>Reiner AI-first-Fonds mit frischem 232-Mio.-USD-Fonds, der Pre-Seed/Seed anfuehrt und mit V7 bereits ein Trainingsdaten-Investment haelt - thesenseitig praktisch deckungsgleich mit PathWize.</t>
        </is>
      </c>
      <c r="V5" s="16" t="inlineStr">
        <is>
          <t>V7 Labs im Portfolio kann als direkter Wettbewerber einen Interessenkonflikt ausloesen; Solo-GP mit sehr hoher Deal-Selektivitaet; kein oeffentlicher Kontaktweg; Schwerpunkt eher US/UK als DACH.</t>
        </is>
      </c>
      <c r="W5" s="16" t="inlineStr">
        <is>
          <t>Warmer Intro ueber das Air-Street-Netzwerk mit der These, dass Europa nach V7 einen eigenen Human-in-the-loop-Trainingsdaten-Layer mit DACH-Enterprise-Zugang braucht.</t>
        </is>
      </c>
      <c r="X5" s="18" t="n">
        <v>30</v>
      </c>
      <c r="Y5" s="18" t="n">
        <v>30</v>
      </c>
      <c r="Z5" s="18" t="n">
        <v>20</v>
      </c>
      <c r="AA5" s="18" t="n">
        <v>10</v>
      </c>
      <c r="AB5" s="18" t="n">
        <v>8</v>
      </c>
      <c r="AC5" s="18" t="inlineStr">
        <is>
          <t>Hoch</t>
        </is>
      </c>
      <c r="AD5" s="15" t="inlineStr">
        <is>
          <t>Bestandsliste</t>
        </is>
      </c>
      <c r="AE5" s="16" t="inlineStr">
        <is>
          <t>https://www.airstreet.com/</t>
        </is>
      </c>
      <c r="AF5" s="16" t="inlineStr">
        <is>
          <t>https://www.airstreet.com/, https://www.airstreet.com/portfolio, https://press.airstreet.com/p/fund-iii, https://tech.eu/2026/03/23/nathan-benaich-s-air-street-raises-232m-fund-iii-becoming-europe-s-largest-solo-gp-venture-firm/</t>
        </is>
      </c>
    </row>
    <row r="6">
      <c r="A6" s="12" t="n">
        <v>2</v>
      </c>
      <c r="B6" s="14" t="inlineStr">
        <is>
          <t>Crane Venture Partners</t>
        </is>
      </c>
      <c r="C6" s="13" t="inlineStr">
        <is>
          <t>A</t>
        </is>
      </c>
      <c r="D6" s="13" t="n">
        <v>97</v>
      </c>
      <c r="E6" s="15" t="inlineStr">
        <is>
          <t>London (weitere Standorte San Francisco, New York, Singapur, Bangalore)</t>
        </is>
      </c>
      <c r="F6" s="18" t="inlineStr">
        <is>
          <t>UK</t>
        </is>
      </c>
      <c r="G6" s="18" t="inlineStr">
        <is>
          <t>VC</t>
        </is>
      </c>
      <c r="H6" s="16" t="inlineStr">
        <is>
          <t>Inception / Pre-Seed bis Seed, teils Series A</t>
        </is>
      </c>
      <c r="I6" s="15" t="inlineStr">
        <is>
          <t>Ja - fuehrt Seed-Runden an (z.B. SRE.ai 7,2 Mio. USD Seed 2025)</t>
        </is>
      </c>
      <c r="J6" s="16" t="inlineStr">
        <is>
          <t>ca. 1-3 Mio. USD; durchschnittliche Seed-Runde im Portfolio 4,66 Mio. USD</t>
        </is>
      </c>
      <c r="K6" s="16" t="inlineStr">
        <is>
          <t>ca. 450 Mio. USD AUM (Stand Sep 2025, u.a. Partnerschaft mit MassMutual Ventures); Fund II 140 Mio. USD (2022)</t>
        </is>
      </c>
      <c r="L6" s="18" t="inlineStr">
        <is>
          <t>Ja</t>
        </is>
      </c>
      <c r="M6" s="16" t="inlineStr">
        <is>
          <t>'Builders of the world's digital infrastructure' - SaaS, Open Source, Data, Machine Learning und Developer Tools; Fokus auf komplexe Dateninfrastruktur statt breiter B2B-Software, Europa und APAC</t>
        </is>
      </c>
      <c r="N6" s="16" t="inlineStr">
        <is>
          <t>Encord (Data-Annotation-, Curation- und Labeling-Plattform), PyannoteAI (Speaker Diarization / Audio-Labeling), Laminar, SRE.ai, Qure.ai, Axiom (Data)</t>
        </is>
      </c>
      <c r="O6" s="16" t="inlineStr">
        <is>
          <t>Sehr hoch - Crane ist seit dem 4,5-Mio.-USD-Seed von Encord investiert und hat bis zur Series C (60 Mio. USD, Feb 2026) nachgezogen; kennt den Annotation-Markt aus erster Hand</t>
        </is>
      </c>
      <c r="P6" s="16" t="inlineStr">
        <is>
          <t>DIREKT: Encord – Wettbewerbskonflikt pruefen</t>
        </is>
      </c>
      <c r="Q6" s="16" t="inlineStr">
        <is>
          <t>Max Chapman</t>
        </is>
      </c>
      <c r="R6" s="16" t="inlineStr">
        <is>
          <t>Principal / Investor mit Remit Data- und AI-Infrastruktur (zuvor Sierra Ventures, dort Enterprise-Data/AI-Infra)</t>
        </is>
      </c>
      <c r="S6" s="16" t="inlineStr">
        <is>
          <t>https://www.linkedin.com/in/max-chapman-343a0a134/</t>
        </is>
      </c>
      <c r="T6" s="16" t="inlineStr">
        <is>
          <t>https://crane.vc/contact</t>
        </is>
      </c>
      <c r="U6" s="16" t="inlineStr">
        <is>
          <t>Crane investiert ausschliesslich Seed in Data-/ML-Infrastruktur und Dev Tools und hat mit Encord die wohl relevanteste europaeische Annotation-Company von Seed bis Series C begleitet - maximale Domaenenkompetenz fuer PathWize.</t>
        </is>
      </c>
      <c r="V6" s="16" t="inlineStr">
        <is>
          <t>Encord ist ein direkter Wettbewerber im Data-Labeling - hoher Konfliktrisiko-Faktor, Crane wird eine klare Differenzierung verlangen; UK-lastig, DACH-Deals selten.</t>
        </is>
      </c>
      <c r="W6" s="16" t="inlineStr">
        <is>
          <t>Max Chapman direkt mit einer scharfen Abgrenzung zu Encord ansprechen: welchen Teil des Trainingsdaten-Stacks PathWize besetzt, den Encord strukturell nicht bedient.</t>
        </is>
      </c>
      <c r="X6" s="18" t="n">
        <v>30</v>
      </c>
      <c r="Y6" s="18" t="n">
        <v>30</v>
      </c>
      <c r="Z6" s="18" t="n">
        <v>20</v>
      </c>
      <c r="AA6" s="18" t="n">
        <v>9</v>
      </c>
      <c r="AB6" s="18" t="n">
        <v>8</v>
      </c>
      <c r="AC6" s="18" t="inlineStr">
        <is>
          <t>Hoch</t>
        </is>
      </c>
      <c r="AD6" s="15" t="inlineStr">
        <is>
          <t>Bestandsliste</t>
        </is>
      </c>
      <c r="AE6" s="16" t="inlineStr">
        <is>
          <t>https://crane.vc/</t>
        </is>
      </c>
      <c r="AF6" s="16" t="inlineStr">
        <is>
          <t>https://crane.vc/, https://crane.vc/people/max-chapman/, https://crane.vc/company/encord/, https://tracxn.com/d/venture-capital/crane-venture-partners/__GAcjnOxmtv2VgpuP0X-GIJHlrgVyxoJTbD2g18bblRw, https://www.globenewswire.com/news-release/2025/08/20/3136456/0/en/SRE-ai-Raises-7-2-Million-Seed-Round-to-Redefine-Enterprise-DevOps-for-the-AI-Era-Backed-by-Salesforce-Ventures-and-Crane-Venture-Partners.html</t>
        </is>
      </c>
    </row>
    <row r="7">
      <c r="A7" s="12" t="n">
        <v>3</v>
      </c>
      <c r="B7" s="14" t="inlineStr">
        <is>
          <t>Earlybird Venture Capital</t>
        </is>
      </c>
      <c r="C7" s="13" t="inlineStr">
        <is>
          <t>A</t>
        </is>
      </c>
      <c r="D7" s="13" t="n">
        <v>97</v>
      </c>
      <c r="E7" s="15" t="inlineStr">
        <is>
          <t>Berlin (Büros München, London, Mailand)</t>
        </is>
      </c>
      <c r="F7" s="15" t="inlineStr">
        <is>
          <t>Deutschland</t>
        </is>
      </c>
      <c r="G7" s="15" t="inlineStr">
        <is>
          <t>Early-Stage Venture Capital</t>
        </is>
      </c>
      <c r="H7" s="16" t="inlineStr">
        <is>
          <t>Pre-Seed (ca. 20%), Seed (ca. 60%), Series A (ca. 20%)</t>
        </is>
      </c>
      <c r="I7" s="15" t="inlineStr">
        <is>
          <t>Ja (führt Pre-Seed- bis Series-A-Runden, Ownership-Modell)</t>
        </is>
      </c>
      <c r="J7" s="16" t="inlineStr">
        <is>
          <t>Erstinvestments bis 12 Mio. EUR</t>
        </is>
      </c>
      <c r="K7" s="16" t="inlineStr">
        <is>
          <t>2,5 Mrd. EUR AUM; Fund VIII 2026 mit 360 Mio. EUR geschlossen (größter Fonds der Firmengeschichte)</t>
        </is>
      </c>
      <c r="L7" s="18" t="inlineStr">
        <is>
          <t>Ja</t>
        </is>
      </c>
      <c r="M7" s="16" t="inlineStr">
        <is>
          <t>Fund VIII mit drei expliziten Schwerpunkten: AI-Applications, Software-Infrastruktur und Foundation Models sowie DeepTech/Hardware; Investment in technische Teams vor der Kategoriebildung</t>
        </is>
      </c>
      <c r="N7" s="16" t="inlineStr">
        <is>
          <t>Black Forest Labs (Foundation Models), Aleph Alpha, DeepCode, SpAItial AI, Sintra AI, Arago, Porters, Rivia</t>
        </is>
      </c>
      <c r="O7" s="16" t="inlineStr">
        <is>
          <t>Sehr hoch - Software-Infrastruktur und Foundation Models sind erklärte Fund-VIII-Schwerpunkte; Portfoliounternehmen wie Black Forest Labs und Aleph Alpha sind unmittelbare Abnehmer hochwertiger Trainingsdaten</t>
        </is>
      </c>
      <c r="P7" s="16" t="inlineStr">
        <is>
          <t>-</t>
        </is>
      </c>
      <c r="Q7" s="16" t="inlineStr">
        <is>
          <t>Dr. Andre Retterath</t>
        </is>
      </c>
      <c r="R7" s="16" t="inlineStr">
        <is>
          <t>Partner, leitet die AI- und Infrastruktur-Practice (seit 2017 bei Earlybird)</t>
        </is>
      </c>
      <c r="S7" s="16" t="inlineStr">
        <is>
          <t>n/a</t>
        </is>
      </c>
      <c r="T7" s="16" t="inlineStr">
        <is>
          <t>https://earlybird.com/contact-us (Kontaktformular)</t>
        </is>
      </c>
      <c r="U7" s="16" t="inlineStr">
        <is>
          <t>Earlybird nennt AI-Applications und Software-Infrastruktur als zwei von drei Kernsäulen des frisch geschlossenen 360-Mio.-EUR-Fund-VIII und investiert genau in der Pre-Seed-bis-Series-A-Spanne von PathWize. Mit Black Forest Labs und Aleph Alpha sitzen direkte Trainingsdaten-Abnehmer im Portfolio, und mit Andre Retterath gibt es einen dedizierten AI-Infrastruktur-Partner.</t>
        </is>
      </c>
      <c r="V7" s="16" t="inlineStr">
        <is>
          <t>Hohe Selektivität und Präferenz für tief technische Gründerteams; Ownership-Modell bedeutet vergleichsweise hohe Anteilsforderungen; starker Fokus auf Modell-/Infrastrukturebene, Service-lastige Labeling-Modelle müssen als Produkt argumentiert werden</t>
        </is>
      </c>
      <c r="W7" s="16" t="inlineStr">
        <is>
          <t>Andre Retterath direkt mit einer datengetriebenen These ansprechen: PathWize liefert die Human-in-the-Loop-Trainingsdatenschicht, die Earlybird-Portfoliofirmen wie Black Forest Labs und Aleph Alpha für Modell-Feintuning und Evaluation brauchen.</t>
        </is>
      </c>
      <c r="X7" s="18" t="n">
        <v>30</v>
      </c>
      <c r="Y7" s="18" t="n">
        <v>30</v>
      </c>
      <c r="Z7" s="18" t="n">
        <v>17</v>
      </c>
      <c r="AA7" s="18" t="n">
        <v>10</v>
      </c>
      <c r="AB7" s="18" t="n">
        <v>10</v>
      </c>
      <c r="AC7" s="18" t="inlineStr">
        <is>
          <t>Hoch</t>
        </is>
      </c>
      <c r="AD7" s="15" t="inlineStr">
        <is>
          <t>Bestandsliste</t>
        </is>
      </c>
      <c r="AE7" s="16" t="inlineStr">
        <is>
          <t>https://earlybird.com/</t>
        </is>
      </c>
      <c r="AF7" s="16" t="inlineStr">
        <is>
          <t>https://earlybird.com/, https://techfundingnews.com/earlybird-360m-fund-viii-ownership-model-ai-deeptech/, https://vcwire.tech/2026/05/06/earlybird-venture-capital-closes-eighth-early-stage-fund-at-e360m/, https://www.vestbee.com/insights/articles/earlybird-secures-360-m-fund</t>
        </is>
      </c>
    </row>
    <row r="8">
      <c r="A8" s="12" t="n">
        <v>4</v>
      </c>
      <c r="B8" s="14" t="inlineStr">
        <is>
          <t>Picus Capital</t>
        </is>
      </c>
      <c r="C8" s="13" t="inlineStr">
        <is>
          <t>A</t>
        </is>
      </c>
      <c r="D8" s="13" t="n">
        <v>96</v>
      </c>
      <c r="E8" s="15" t="inlineStr">
        <is>
          <t>München</t>
        </is>
      </c>
      <c r="F8" s="15" t="inlineStr">
        <is>
          <t>Deutschland</t>
        </is>
      </c>
      <c r="G8" s="15" t="inlineStr">
        <is>
          <t>VC (Evergreen-Struktur, seit 2015)</t>
        </is>
      </c>
      <c r="H8" s="16" t="inlineStr">
        <is>
          <t>Pre-Seed, Seed, Series A (Follow-ons bis Series B)</t>
        </is>
      </c>
      <c r="I8" s="15" t="inlineStr">
        <is>
          <t>Ja — 2026 u.a. Lead bei compri (3,2 Mio. EUR Seed) und Co-Lead bei XO Market (6 Mio. USD Seed)</t>
        </is>
      </c>
      <c r="J8" s="16" t="inlineStr">
        <is>
          <t>Erstinvestments typischerweise 250.000 - 750.000 USD, Follow-ons deutlich höher; keine offizielle Range publiziert</t>
        </is>
      </c>
      <c r="K8" s="16" t="inlineStr">
        <is>
          <t>n/a (Evergreen-Vehikel, kein Fondsvolumen ausgewiesen); 170+ Investments in 20+ Ländern, 50+ Mitarbeitende, 9 Büros</t>
        </is>
      </c>
      <c r="L8" s="18" t="inlineStr">
        <is>
          <t>Ja</t>
        </is>
      </c>
      <c r="M8" s="16" t="inlineStr">
        <is>
          <t>Frontier Tech in sechs Kernsektoren: AI &amp; Data, Enterprise Infrastructure, Cybersecurity, Robotics, Biotech sowie klassisch Fintech/Insurtech/HR-Tech/Climate; explizites Ziel, Unternehmen zu finanzieren, die Enterprises robustere Dateninfrastrukturen bauen lassen</t>
        </is>
      </c>
      <c r="N8" s="16" t="inlineStr">
        <is>
          <t>Greptime (Time-Series-Datenbank), TensorChord (container-zentrische AI-Infrastruktur, Vector-DB-Umfeld), Orca (adaptive Datenbanken für AI), Klarity (AI-Vertragsprüfung), Reflex (Python-Web-Framework/Dev-Tool), Hawk:AI, Landbase, SydeLabs, Cyble; weitere Stealth-Ventures in Cybersecurity und Data Infrastructure</t>
        </is>
      </c>
      <c r="O8" s="16" t="inlineStr">
        <is>
          <t>Sehr hoch — 'AI &amp; Data' ist ein benannter Kernsektor, das Portfolio deckt Vector-/Time-Series-DBs, AI-Serving-Infrastruktur und Dev-Tools ab; Data Labeling ist die logisch fehlende Schicht in diesem Stack</t>
        </is>
      </c>
      <c r="P8" s="16" t="inlineStr">
        <is>
          <t>Data-Infra-nah</t>
        </is>
      </c>
      <c r="Q8" s="16" t="inlineStr">
        <is>
          <t>Florian Reichert</t>
        </is>
      </c>
      <c r="R8" s="16" t="inlineStr">
        <is>
          <t>Partner &amp; Managing Director, verantwortet Cybersecurity- und AI/Data-Investments (seit 2017 bei Picus, zuvor BCG Zürich); alternativ Robin Godenrath (Founding Partner/MD) und Alexander Kremer (Partner, Data Infrastructure)</t>
        </is>
      </c>
      <c r="S8" s="16" t="inlineStr">
        <is>
          <t>https://www.linkedin.com/in/florian-reichert-661b98a2/</t>
        </is>
      </c>
      <c r="T8" s="16" t="inlineStr">
        <is>
          <t>info@picuscap.com; Leopoldstraße 20, 80802 München</t>
        </is>
      </c>
      <c r="U8" s="16" t="inlineStr">
        <is>
          <t>Picus nennt 'AI &amp; Data' und 'Enterprise Infrastructure' als benannte Kernsektoren, investiert von Pre-Seed bis Series A und hat mit Greptime, TensorChord und Orca bereits mehrfach in Data-Infrastruktur investiert. Der Münchner HQ macht den DACH-Zugang trivial.</t>
        </is>
      </c>
      <c r="V8" s="16" t="inlineStr">
        <is>
          <t>Sehr breites Sektorspektrum und hohe Deal-Frequenz — Erstickets von 250-750k USD sind für eine ambitionierte Seed-Runde eher klein, echte Lead-Funktion ist nicht garantiert; Evergreen-Struktur ohne publiziertes Fondsvolumen erschwert die Einschätzung des Dry Powder</t>
        </is>
      </c>
      <c r="W8" s="16" t="inlineStr">
        <is>
          <t>Florian Reichert direkt mit der Stack-Lücke ansprechen: Picus hat Greptime, TensorChord und Orca — PathWize ist die Human-in-the-loop-Trainingsdatenschicht, die diesem AI-Data-Stack noch fehlt.</t>
        </is>
      </c>
      <c r="X8" s="18" t="n">
        <v>30</v>
      </c>
      <c r="Y8" s="18" t="n">
        <v>29</v>
      </c>
      <c r="Z8" s="18" t="n">
        <v>18</v>
      </c>
      <c r="AA8" s="18" t="n">
        <v>10</v>
      </c>
      <c r="AB8" s="18" t="n">
        <v>9</v>
      </c>
      <c r="AC8" s="18" t="inlineStr">
        <is>
          <t>Hoch</t>
        </is>
      </c>
      <c r="AD8" s="15" t="inlineStr">
        <is>
          <t>Bestandsliste</t>
        </is>
      </c>
      <c r="AE8" s="16" t="inlineStr">
        <is>
          <t>https://www.picuscap.com/</t>
        </is>
      </c>
      <c r="AF8" s="16" t="inlineStr">
        <is>
          <t>https://www.picuscap.com/, https://www.picuscap.com/picus_frontier_tech/, https://www.picuscap.com/team_experts/florian-reichert/, https://www.crunchbase.com/person/robin-godenrath, https://www.vcsheet.com/fund/picus-capital</t>
        </is>
      </c>
    </row>
    <row r="9">
      <c r="A9" s="12" t="n">
        <v>5</v>
      </c>
      <c r="B9" s="14" t="inlineStr">
        <is>
          <t>Point Nine Capital</t>
        </is>
      </c>
      <c r="C9" s="13" t="inlineStr">
        <is>
          <t>A</t>
        </is>
      </c>
      <c r="D9" s="13" t="n">
        <v>96</v>
      </c>
      <c r="E9" s="15" t="inlineStr">
        <is>
          <t>Berlin</t>
        </is>
      </c>
      <c r="F9" s="15" t="inlineStr">
        <is>
          <t>Deutschland</t>
        </is>
      </c>
      <c r="G9" s="15" t="inlineStr">
        <is>
          <t>VC (Seed-Spezialist)</t>
        </is>
      </c>
      <c r="H9" s="16" t="inlineStr">
        <is>
          <t>Seed (teils Pre-Seed), Pro-Rata bis Series A</t>
        </is>
      </c>
      <c r="I9" s="15" t="inlineStr">
        <is>
          <t>Ja - klassischer Seed-Lead</t>
        </is>
      </c>
      <c r="J9" s="16" t="inlineStr">
        <is>
          <t>1-10 Mio. USD pro Unternehmen</t>
        </is>
      </c>
      <c r="K9" s="16" t="inlineStr">
        <is>
          <t>Fund VI: ca. 180 Mio. EUR; 100+ Investments seit 2011</t>
        </is>
      </c>
      <c r="L9" s="18" t="inlineStr">
        <is>
          <t>Ja</t>
        </is>
      </c>
      <c r="M9" s="16" t="inlineStr">
        <is>
          <t>Thesengetrieben: 'AI for the digital, physical and biological world'; B2B SaaS, Dev Tools, API-/Infrastruktur-Franchise, AI-gestuetzte B2B-Software</t>
        </is>
      </c>
      <c r="N9" s="16" t="inlineStr">
        <is>
          <t>SuperAnnotate (AI-Annotationsplattform - Seed 2020 von Point Nine gefuehrt), poolside, Sereact (Robotik-AI), Vercept, Algolia, Contentful, Typeform, Loom (Exit an Atlassian), Attio</t>
        </is>
      </c>
      <c r="O9" s="16" t="inlineStr">
        <is>
          <t>Hoechste in der Batch: Point Nine hat die Seed-Runde von SuperAnnotate, einer End-to-End-Annotationsplattform fuer ML-Teams, angefuehrt - der Fonds kennt Labeling-Oekonomie, Workflow und GTM aus erster Hand</t>
        </is>
      </c>
      <c r="P9" s="16" t="inlineStr">
        <is>
          <t>DIREKT: Superannotate – Wettbewerbskonflikt pruefen</t>
        </is>
      </c>
      <c r="Q9" s="16" t="inlineStr">
        <is>
          <t>Christoph Janz</t>
        </is>
      </c>
      <c r="R9" s="16" t="inlineStr">
        <is>
          <t>Managing Partner (Berlin); weitere Investment Partner: Pawel Chudzinski, Louis Coppey, Ricardo Sequerra Amram</t>
        </is>
      </c>
      <c r="S9" s="16" t="inlineStr">
        <is>
          <t>n/a</t>
        </is>
      </c>
      <c r="T9" s="16" t="inlineStr">
        <is>
          <t>Pitch ueber das Kontaktformular auf pointnine.com; Content-Kanal writing.pointnine.com</t>
        </is>
      </c>
      <c r="U9" s="16" t="inlineStr">
        <is>
          <t>Berliner Seed-Lead mit expliziter AI-These und dem einzigen belegten Data-Labeling-Investment der Batch (Lead der SuperAnnotate-Seed-Runde) - Sektor, Stage und Geo treffen PathWize praktisch punktgenau.</t>
        </is>
      </c>
      <c r="V9" s="16" t="inlineStr">
        <is>
          <t>SuperAnnotate ist ein moeglicher Portfolio-Konflikt und Wettbewerber - das muss im Erstkontakt aktiv adressiert und differenziert werden; Point Nine startet selten im echten Pre-Seed; sehr hoher Deal-Flow, Standard-Formular hat geringe Trefferquote</t>
        </is>
      </c>
      <c r="W9" s="16" t="inlineStr">
        <is>
          <t>Ueber das Kontaktformular an Christoph Janz mit klarer Abgrenzung zu SuperAnnotate: PathWize als europaeischer, DSGVO-konformer Human-in-the-loop-Layer mit eigener Nische statt Tooling-Wettbewerb.</t>
        </is>
      </c>
      <c r="X9" s="18" t="n">
        <v>28</v>
      </c>
      <c r="Y9" s="18" t="n">
        <v>29</v>
      </c>
      <c r="Z9" s="18" t="n">
        <v>20</v>
      </c>
      <c r="AA9" s="18" t="n">
        <v>9</v>
      </c>
      <c r="AB9" s="18" t="n">
        <v>10</v>
      </c>
      <c r="AC9" s="18" t="inlineStr">
        <is>
          <t>Hoch</t>
        </is>
      </c>
      <c r="AD9" s="15" t="inlineStr">
        <is>
          <t>Bestandsliste</t>
        </is>
      </c>
      <c r="AE9" s="16" t="inlineStr">
        <is>
          <t>https://pointnine.com/</t>
        </is>
      </c>
      <c r="AF9" s="16" t="inlineStr">
        <is>
          <t>https://pointnine.com/, https://tech.eu/brief/superannotate-seed-funding/, https://news.crunchbase.com/startups/superannotate-lands-3m-seed-round-to-streamline-image-labeling/</t>
        </is>
      </c>
    </row>
    <row r="10">
      <c r="A10" s="12" t="n">
        <v>6</v>
      </c>
      <c r="B10" s="14" t="inlineStr">
        <is>
          <t>SquareOne</t>
        </is>
      </c>
      <c r="C10" s="13" t="inlineStr">
        <is>
          <t>A</t>
        </is>
      </c>
      <c r="D10" s="13" t="n">
        <v>96</v>
      </c>
      <c r="E10" s="15" t="inlineStr">
        <is>
          <t>Berlin</t>
        </is>
      </c>
      <c r="F10" s="18" t="inlineStr">
        <is>
          <t>DE</t>
        </is>
      </c>
      <c r="G10" s="15" t="inlineStr">
        <is>
          <t>VC (vormals Paua Ventures)</t>
        </is>
      </c>
      <c r="H10" s="16" t="inlineStr">
        <is>
          <t>Pre-Seed und Seed</t>
        </is>
      </c>
      <c r="I10" s="15" t="inlineStr">
        <is>
          <t>Ja (typischer Lead in Pre-Seed-/Seed-Runden)</t>
        </is>
      </c>
      <c r="J10" s="16" t="inlineStr">
        <is>
          <t>n/a (nicht oeffentlich beziffert; auf Basis Fondsgroesse und Stage typischerweise im niedrigen einstelligen Millionenbereich)</t>
        </is>
      </c>
      <c r="K10" s="16" t="inlineStr">
        <is>
          <t>SquareOne III mit EUR 100 Mio.; insgesamt 40 bis 54 Portfoliounternehmen seit 2010; LPs u.a. InnovFin Equity/EIF sowie Gruender von Instana, Signavio, Workday, Adyen und Staffbase</t>
        </is>
      </c>
      <c r="L10" s="18" t="inlineStr">
        <is>
          <t>Ja</t>
        </is>
      </c>
      <c r="M10" s="16" t="inlineStr">
        <is>
          <t>B2B-Tech-Gruender, die komplexe Probleme in grossen Maerkten loesen: Enterprise Software, SaaS, Deep Tech, Open Source, Supply Chain/Procurement und Climate Tech</t>
        </is>
      </c>
      <c r="N10" s="16" t="inlineStr">
        <is>
          <t>Ultralytics (YOLO - fuehrende Open-Source-Computer-Vision-Modelle), Semron (3D-skalierter AI-Chip), Edgeless Systems (Confidential Computing), Hygraph (GraphQL-Federated-CMS/Datenlayer), Codasip (RISC-V-Tooling), Wandelbots (Robotik-Software), Retorio (AI-Coaching), DigitalGenius, Pyne; frueher Stripe und Pipedrive</t>
        </is>
      </c>
      <c r="O10" s="16" t="inlineStr">
        <is>
          <t>Sehr hoch: Mit Ultralytics haelt SquareOne ein Investment direkt im Computer-Vision-Modell-Oekosystem - dem unmittelbaren Nachbarmarkt von Annotation und Trainingsdaten; zusaetzlich Open-Source- und Infrastruktur-Affinitaet</t>
        </is>
      </c>
      <c r="P10" s="16" t="inlineStr">
        <is>
          <t>-</t>
        </is>
      </c>
      <c r="Q10" s="16" t="inlineStr">
        <is>
          <t>Georg Stockinger</t>
        </is>
      </c>
      <c r="R10" s="16" t="inlineStr">
        <is>
          <t>Partner (weiterer Partner: Christian Buchenau; Principal: Charlotte Baumhauer)</t>
        </is>
      </c>
      <c r="S10" s="16" t="inlineStr">
        <is>
          <t>https://www.linkedin.com/in/gstockinger/</t>
        </is>
      </c>
      <c r="T10" s="16" t="inlineStr">
        <is>
          <t>Kontakt ueber https://www.squareone.vc/ und LinkedIn der Partner (keine oeffentliche Pitch-E-Mail; FAQ als Notion-Seite verlinkt)</t>
        </is>
      </c>
      <c r="U10" s="16" t="inlineStr">
        <is>
          <t>Berliner Pre-Seed/Seed-Lead mit EUR 100 Mio. frischem Fonds, reiner B2B-Deep-Tech-These und mit Ultralytics einem Portfoliounternehmen direkt im Computer-Vision-Modell-Stack - der beste Fit dieser Batch.</t>
        </is>
      </c>
      <c r="V10" s="16" t="inlineStr">
        <is>
          <t>Keine oeffentliche Ticketgroesse und kein offenes Pitch-Formular; Zugang laeuft praktisch ueber warme Intros oder direkte Partner-Ansprache auf LinkedIn</t>
        </is>
      </c>
      <c r="W10" s="16" t="inlineStr">
        <is>
          <t>Ueber Ultralytics einsteigen: 'Ihr habt in die Modelle investiert - PathWize liefert die annotierten Domaenendaten, an denen jede Computer-Vision-Deployment in der Praxis haengt.'</t>
        </is>
      </c>
      <c r="X10" s="18" t="n">
        <v>30</v>
      </c>
      <c r="Y10" s="18" t="n">
        <v>28</v>
      </c>
      <c r="Z10" s="18" t="n">
        <v>18</v>
      </c>
      <c r="AA10" s="18" t="n">
        <v>10</v>
      </c>
      <c r="AB10" s="18" t="n">
        <v>10</v>
      </c>
      <c r="AC10" s="18" t="inlineStr">
        <is>
          <t>Hoch</t>
        </is>
      </c>
      <c r="AD10" s="15" t="inlineStr">
        <is>
          <t>Bestandsliste</t>
        </is>
      </c>
      <c r="AE10" s="16" t="inlineStr">
        <is>
          <t>https://www.squareone.vc/</t>
        </is>
      </c>
      <c r="AF10" s="16" t="inlineStr">
        <is>
          <t>https://www.squareone.vc/, https://www.squareone.vc/portfolio, https://www.squareone.vc/team, https://siliconcanals.com/squareone-launches-third-fund/, https://www.ypog.law/en/press/ypog-advises-squareone-on-100-million-fund</t>
        </is>
      </c>
    </row>
    <row r="11">
      <c r="A11" s="12" t="n">
        <v>7</v>
      </c>
      <c r="B11" s="14" t="inlineStr">
        <is>
          <t>468 Capital</t>
        </is>
      </c>
      <c r="C11" s="13" t="inlineStr">
        <is>
          <t>A</t>
        </is>
      </c>
      <c r="D11" s="13" t="n">
        <v>95</v>
      </c>
      <c r="E11" s="15" t="inlineStr">
        <is>
          <t>Berlin (zusaetzlich San Francisco)</t>
        </is>
      </c>
      <c r="F11" s="18" t="inlineStr">
        <is>
          <t>DE</t>
        </is>
      </c>
      <c r="G11" s="18" t="inlineStr">
        <is>
          <t>VC</t>
        </is>
      </c>
      <c r="H11" s="16" t="inlineStr">
        <is>
          <t>Day 0 / Pre-Seed, Seed und Series A/B</t>
        </is>
      </c>
      <c r="I11" s="15" t="inlineStr">
        <is>
          <t>Ja - fuehrt Seed- und Series-A-Runden an</t>
        </is>
      </c>
      <c r="J11" s="16" t="inlineStr">
        <is>
          <t>Erstickets im Bereich 0,1-1,5 Mio. EUR bei Pre-Seed, deutlich hoeher bei Seed/Series A (Drittquellen, indikativ)</t>
        </is>
      </c>
      <c r="K11" s="16" t="inlineStr">
        <is>
          <t>ca. 400 Mio. USD (Fund II, 2022); Nachfolgefonds nicht oeffentlich bestaetigt</t>
        </is>
      </c>
      <c r="L11" s="18" t="inlineStr">
        <is>
          <t>Ja</t>
        </is>
      </c>
      <c r="M11" s="16" t="inlineStr">
        <is>
          <t>Founder-led Category Definers in vier Feldern: AI &amp; Automation, Infrastructure &amp; Enterprise Software, Energy Transition &amp; Climate, Consumer; starke Open-Source-Affinitaet</t>
        </is>
      </c>
      <c r="N11" s="16" t="inlineStr">
        <is>
          <t>Activeloop (Deep Lake - Data Lake fuer Deep-Learning-Trainingsdaten), Iterative.ai (DVC, Daten-/Modellversionierung fuer ML), QuestDB (Time-Series-DB), Jua.ai, ARC Intelligence</t>
        </is>
      </c>
      <c r="O11" s="16" t="inlineStr">
        <is>
          <t>Sehr hoch - Activeloop und Iterative.ai sind beides Trainingsdaten-Infrastruktur-Investments und liegen unmittelbar neben dem PathWize-Use-Case</t>
        </is>
      </c>
      <c r="P11" s="16" t="inlineStr">
        <is>
          <t>DIREKT: Activeloop – Wettbewerbskonflikt pruefen</t>
        </is>
      </c>
      <c r="Q11" s="16" t="inlineStr">
        <is>
          <t>Ludwig Ensthaler</t>
        </is>
      </c>
      <c r="R11" s="16" t="inlineStr">
        <is>
          <t>General Partner und Mitgruender (Berlin); neben Florian Leibert (Mitgruender Mesosphere/D2iQ) und Alexander Kudlich</t>
        </is>
      </c>
      <c r="S11" s="16" t="inlineStr">
        <is>
          <t>https://www.linkedin.com/in/ludwig-ensthaler-1b460143/</t>
        </is>
      </c>
      <c r="T11" s="16" t="inlineStr">
        <is>
          <t>Kein oeffentliches Pitch-Formular oder E-Mail auf 468cap.com gefunden</t>
        </is>
      </c>
      <c r="U11" s="16" t="inlineStr">
        <is>
          <t>Berliner Fonds mit AI-&amp;-Automation-These, der mit Activeloop und Iterative.ai bereits zweimal in Trainingsdaten- und ML-Data-Infrastruktur investiert hat und weiterhin aktiv Seed-Runden zeichnet (12 Neuinvestments in den letzten 12 Monaten).</t>
        </is>
      </c>
      <c r="V11" s="16" t="inlineStr">
        <is>
          <t>Aktuelle Fondsgeneration nicht oeffentlich bestaetigt - Fund II stammt von 2022, Dry Powder unklar; Website liefert praktisch keine Informationen und keinen Kontaktweg.</t>
        </is>
      </c>
      <c r="W11" s="16" t="inlineStr">
        <is>
          <t>Ueber die Activeloop-/Iterative-These einsteigen: PathWize liefert die menschliche Qualitaetsschicht ueber genau der Trainingsdaten-Infrastruktur, in die 468 bereits investiert hat.</t>
        </is>
      </c>
      <c r="X11" s="18" t="n">
        <v>29</v>
      </c>
      <c r="Y11" s="18" t="n">
        <v>28</v>
      </c>
      <c r="Z11" s="18" t="n">
        <v>19</v>
      </c>
      <c r="AA11" s="18" t="n">
        <v>9</v>
      </c>
      <c r="AB11" s="18" t="n">
        <v>10</v>
      </c>
      <c r="AC11" s="15" t="inlineStr">
        <is>
          <t>Mittel</t>
        </is>
      </c>
      <c r="AD11" s="15" t="inlineStr">
        <is>
          <t>Bestandsliste</t>
        </is>
      </c>
      <c r="AE11" s="16" t="inlineStr">
        <is>
          <t>https://468cap.com/</t>
        </is>
      </c>
      <c r="AF11" s="16" t="inlineStr">
        <is>
          <t>https://468cap.com/, https://www.businesswire.com/news/home/20220131005245/en/468-Capital-Raises-$400-Million-Fund-II, https://tracxn.com/d/venture-capital/468-capital/__PvJ3zdM2BK-utw9SyjkrtArkRvai6Jiseu1AwF0YlmU, https://www.linkedin.com/in/ludwig-ensthaler-1b460143/</t>
        </is>
      </c>
    </row>
    <row r="12">
      <c r="A12" s="12" t="n">
        <v>8</v>
      </c>
      <c r="B12" s="14" t="inlineStr">
        <is>
          <t>DIG Ventures</t>
        </is>
      </c>
      <c r="C12" s="13" t="inlineStr">
        <is>
          <t>A</t>
        </is>
      </c>
      <c r="D12" s="13" t="n">
        <v>95</v>
      </c>
      <c r="E12" s="15" t="inlineStr">
        <is>
          <t>London</t>
        </is>
      </c>
      <c r="F12" s="15" t="inlineStr">
        <is>
          <t>Grossbritannien</t>
        </is>
      </c>
      <c r="G12" s="15" t="inlineStr">
        <is>
          <t>VC (operator-gefuehrt)</t>
        </is>
      </c>
      <c r="H12" s="16" t="inlineStr">
        <is>
          <t>Pre-Seed und Seed</t>
        </is>
      </c>
      <c r="I12" s="15" t="inlineStr">
        <is>
          <t>Ja - 'fast decisions with high conviction', dreistufiger Prozess (Erstcall, Deep Dive, IC)</t>
        </is>
      </c>
      <c r="J12" s="16" t="inlineStr">
        <is>
          <t>n/a (nicht oeffentlich; Pre-Seed/Seed-typisch)</t>
        </is>
      </c>
      <c r="K12" s="16" t="inlineStr">
        <is>
          <t>Fund II: 100 Mio. USD (2025)</t>
        </is>
      </c>
      <c r="L12" s="18" t="inlineStr">
        <is>
          <t>Ja</t>
        </is>
      </c>
      <c r="M12" s="16" t="inlineStr">
        <is>
          <t>Early-Stage B2B SaaS, AI und Cloud-Infrastruktur in Europa; gegruendet vom MuleSoft-Gruender Ross Mason, LPs u.a. Datadog-Gruender - dezidiert Dev-Tools-/Infrastruktur-Netzwerk</t>
        </is>
      </c>
      <c r="N12" s="16" t="inlineStr">
        <is>
          <t>Prophecy (Data Pipelines), Deepnote (Data-Science-Notebooks), PlanetScale (Datenbank-Infra), Dash0 (Observability, deutsches Team), Rossum (Dokumenten-Datenextraktion), Encore, Rasa (Conversational AI), nexos.ai, People.ai, ComplyAdvantage</t>
        </is>
      </c>
      <c r="O12" s="16" t="inlineStr">
        <is>
          <t>Sehr hoch: Data-Pipeline- und Dokumentenextraktions-Investments (Prophecy, Rossum, Deepnote) liegen unmittelbar neben dem Trainingsdaten-Layer; Rossum ist im Kern strukturierte Datengewinnung aus unstrukturierten Inputs</t>
        </is>
      </c>
      <c r="P12" s="16" t="inlineStr">
        <is>
          <t>Data-Infra-nah</t>
        </is>
      </c>
      <c r="Q12" s="16" t="inlineStr">
        <is>
          <t>Ross Mason</t>
        </is>
      </c>
      <c r="R12" s="16" t="inlineStr">
        <is>
          <t>Founder &amp; General Partner (Gruender von MuleSoft); Melissa Klinger (Partner)</t>
        </is>
      </c>
      <c r="S12" s="16" t="inlineStr">
        <is>
          <t>n/a</t>
        </is>
      </c>
      <c r="T12" s="16" t="inlineStr">
        <is>
          <t>hello@dig.ventures</t>
        </is>
      </c>
      <c r="U12" s="16" t="inlineStr">
        <is>
          <t>Nennt AI und Cloud-/Data-Infrastruktur explizit als Kernthese, hat mit Prophecy, Deepnote, PlanetScale und Rossum ein dichtes Data-Infra-Buch und mit dem deutschen Dash0 einen belegten DACH-Deal aus einem frischen 100-Mio.-USD-Fonds.</t>
        </is>
      </c>
      <c r="V12" s="16" t="inlineStr">
        <is>
          <t>Ticketgroesse nicht oeffentlich; UK-basiert, DACH ist nicht das Kernjagdgebiet; operator-getriebener Fokus auf Dev-Tools koennte einen human-in-the-loop-Anteil kritisch sehen</t>
        </is>
      </c>
      <c r="W12" s="16" t="inlineStr">
        <is>
          <t>Mail an hello@dig.ventures mit dem Infrastruktur-Framing: PathWize als Trainingsdaten-Pipeline neben Prophecy und Rossum, mit Verweis auf den deutschen Portfolio-Case Dash0 als Beleg fuer DACH-Anschluss.</t>
        </is>
      </c>
      <c r="X12" s="18" t="n">
        <v>29</v>
      </c>
      <c r="Y12" s="18" t="n">
        <v>29</v>
      </c>
      <c r="Z12" s="18" t="n">
        <v>18</v>
      </c>
      <c r="AA12" s="18" t="n">
        <v>10</v>
      </c>
      <c r="AB12" s="18" t="n">
        <v>9</v>
      </c>
      <c r="AC12" s="18" t="inlineStr">
        <is>
          <t>Hoch</t>
        </is>
      </c>
      <c r="AD12" s="15" t="inlineStr">
        <is>
          <t>Bestandsliste</t>
        </is>
      </c>
      <c r="AE12" s="16" t="inlineStr">
        <is>
          <t>https://www.dig.ventures/</t>
        </is>
      </c>
      <c r="AF12" s="16" t="inlineStr">
        <is>
          <t>https://www.dig.ventures/</t>
        </is>
      </c>
    </row>
    <row r="13">
      <c r="A13" s="12" t="n">
        <v>9</v>
      </c>
      <c r="B13" s="14" t="inlineStr">
        <is>
          <t>Merantix Capital</t>
        </is>
      </c>
      <c r="C13" s="13" t="inlineStr">
        <is>
          <t>A</t>
        </is>
      </c>
      <c r="D13" s="13" t="n">
        <v>95</v>
      </c>
      <c r="E13" s="15" t="inlineStr">
        <is>
          <t>Berlin</t>
        </is>
      </c>
      <c r="F13" s="15" t="inlineStr">
        <is>
          <t>Deutschland</t>
        </is>
      </c>
      <c r="G13" s="15" t="inlineStr">
        <is>
          <t>VC + Venture Studio</t>
        </is>
      </c>
      <c r="H13" s="16" t="inlineStr">
        <is>
          <t>Pre-Idea, Pre-Seed, Seed</t>
        </is>
      </c>
      <c r="I13" s="15" t="inlineStr">
        <is>
          <t>Ja - fuehrt Pre-Seed-/Seed-Runden an, flexible Ownership-Ziele</t>
        </is>
      </c>
      <c r="J13" s="16" t="inlineStr">
        <is>
          <t>500 Tsd. - 4 Mio. EUR</t>
        </is>
      </c>
      <c r="K13" s="16" t="inlineStr">
        <is>
          <t>103 Mio. EUR (Final Close Jun 2026, groesster Fonds bisher); ca. 40 geplante Investments</t>
        </is>
      </c>
      <c r="L13" s="18" t="inlineStr">
        <is>
          <t>Ja</t>
        </is>
      </c>
      <c r="M13" s="16" t="inlineStr">
        <is>
          <t>Ausschliesslich AI: 'exceptional teams building applied AI solutions with a strong Europe angle', B2B ueber 15+ Anwendungsdomaenen (Agentic Models, Robotics &amp; Industrial AI, New Systems of Record, Defense, Cybersecurity, TechBio, Energy Infrastructure); ca. 50/50 Venture Studio vs. Direktinvestment</t>
        </is>
      </c>
      <c r="N13" s="16" t="inlineStr">
        <is>
          <t>Droidrun (Mobile-AI-Agent-Infrastruktur), Arqh, Outpost Bio; gesamtes Portfolio AI-nativ; LPs u.a. Union Investment, Jungheinrich, KPMG Deutschland</t>
        </is>
      </c>
      <c r="O13" s="16" t="inlineStr">
        <is>
          <t>Kein direktes Labeling-Investment, aber Merantix ist aus dem AI-Studio-Umfeld heraus mit Trainingsdaten-Pipelines vertraut (Rasmus Rothe: PhD Computer Vision/Deep Learning, ETH Zuerich)</t>
        </is>
      </c>
      <c r="P13" s="16" t="inlineStr">
        <is>
          <t>-</t>
        </is>
      </c>
      <c r="Q13" s="16" t="inlineStr">
        <is>
          <t>Dr. Rasmus Rothe</t>
        </is>
      </c>
      <c r="R13" s="16" t="inlineStr">
        <is>
          <t>Co-Founder &amp; General Partner (PhD Computer Vision/Deep Learning ETH Zuerich, Vorsitzender KI Bundesverband); weitere: Adrian Locher (Co-Founder &amp; GP), Nicole Buettner (Founding Partner), Matthieu Dederichs (Venture Partner)</t>
        </is>
      </c>
      <c r="S13" s="16" t="inlineStr">
        <is>
          <t>n/a</t>
        </is>
      </c>
      <c r="T13" s="16" t="inlineStr">
        <is>
          <t>Kein oeffentliches Pitch-Formular auf der Invest-Seite; Kontakt ueber merantix-capital.com bzw. Merantix AI Campus Berlin</t>
        </is>
      </c>
      <c r="U13" s="16" t="inlineStr">
        <is>
          <t>Reiner AI-Fonds in Berlin mit brandneuen 103 Mio. EUR (Jun 2026), Ticketgroesse 0,5-4 Mio. EUR und ca. 40 geplanten Pre-Seed-/Seed-Investments - Stage, Sektor, Geo und Timing decken sich vollstaendig mit PathWize.</t>
        </is>
      </c>
      <c r="V13" s="16" t="inlineStr">
        <is>
          <t>Fokus auf 'applied AI fuer Kernindustrien' - ein horizontaler Daten-/Service-Layer muss klar als produktisierte AI-Company positioniert werden; Studio-Haelfte des Fonds ist fuer eigene Ausgruendungen reserviert; Rothe als KI-Bundesverband-Vorsitzender ist stark ausgelastet</t>
        </is>
      </c>
      <c r="W13" s="16" t="inlineStr">
        <is>
          <t>Ueber den Merantix AI Campus in Berlin andocken und PathWize als AI-native Dateninfrastruktur fuer die europaeischen Kernindustrien pitchen, die Merantix bereits adressiert (Manufacturing, Robotics, Defense).</t>
        </is>
      </c>
      <c r="X13" s="18" t="n">
        <v>30</v>
      </c>
      <c r="Y13" s="18" t="n">
        <v>30</v>
      </c>
      <c r="Z13" s="18" t="n">
        <v>15</v>
      </c>
      <c r="AA13" s="18" t="n">
        <v>10</v>
      </c>
      <c r="AB13" s="18" t="n">
        <v>10</v>
      </c>
      <c r="AC13" s="18" t="inlineStr">
        <is>
          <t>Hoch</t>
        </is>
      </c>
      <c r="AD13" s="15" t="inlineStr">
        <is>
          <t>Bestandsliste</t>
        </is>
      </c>
      <c r="AE13" s="16" t="inlineStr">
        <is>
          <t>https://www.merantix-capital.com/invest</t>
        </is>
      </c>
      <c r="AF13" s="16" t="inlineStr">
        <is>
          <t>https://www.merantix-capital.com/invest, https://www.eu-startups.com/2026/06/german-vc-merantix-capital-closes-e103-million-fund-for-early-stage-ai-startups/, https://news.merantix-capital.com/p/merantix-capitals-next-chapter-103m</t>
        </is>
      </c>
    </row>
    <row r="14">
      <c r="A14" s="12" t="n">
        <v>10</v>
      </c>
      <c r="B14" s="14" t="inlineStr">
        <is>
          <t>Fly Ventures</t>
        </is>
      </c>
      <c r="C14" s="13" t="inlineStr">
        <is>
          <t>A</t>
        </is>
      </c>
      <c r="D14" s="13" t="n">
        <v>94</v>
      </c>
      <c r="E14" s="15" t="inlineStr">
        <is>
          <t>Berlin</t>
        </is>
      </c>
      <c r="F14" s="18" t="inlineStr">
        <is>
          <t>DE</t>
        </is>
      </c>
      <c r="G14" s="15" t="inlineStr">
        <is>
          <t>VC (First-Check-Fonds)</t>
        </is>
      </c>
      <c r="H14" s="16" t="inlineStr">
        <is>
          <t>Day-Zero / Pre-Seed bis Seed</t>
        </is>
      </c>
      <c r="I14" s="15" t="inlineStr">
        <is>
          <t>Ja - klassischer First-Check- und Lead-Investor</t>
        </is>
      </c>
      <c r="J14" s="16" t="inlineStr">
        <is>
          <t>1-4 Mio. EUR in Runden von 2-10 Mio. EUR</t>
        </is>
      </c>
      <c r="K14" s="16" t="inlineStr">
        <is>
          <t>80 Mio. EUR (Fund III, ueberzeichnet geschlossen Dez 2024)</t>
        </is>
      </c>
      <c r="L14" s="18" t="inlineStr">
        <is>
          <t>Ja</t>
        </is>
      </c>
      <c r="M14" s="16" t="inlineStr">
        <is>
          <t>First Check fuer technische Gruender in Europa: AI, Deep Tech, Infrastruktur, Robotik, Developer Tools, Frontier Tech. Allokation bisher ca. 45% AI, 35% Vertical/Industrial, 20% Dev Tools und Infrastruktur.</t>
        </is>
      </c>
      <c r="N14" s="16" t="inlineStr">
        <is>
          <t>Wayve (Autonomous Driving, Unicorn), Lakera (AI Security), zymtrace (GPU-/CPU-Profiling), 9fin (AI-Debt-Intelligence), Orbital, GitButler, GitGuardian</t>
        </is>
      </c>
      <c r="O14" s="16" t="inlineStr">
        <is>
          <t>Mittel bis hoch - starke Dev-Tools- und AI-Infra-Kompetenz, Wayve impliziert Verstaendnis fuer Trainingsdaten-Pipelines; kein direktes Labeling-Investment belegt</t>
        </is>
      </c>
      <c r="P14" s="16" t="inlineStr">
        <is>
          <t>-</t>
        </is>
      </c>
      <c r="Q14" s="16" t="inlineStr">
        <is>
          <t>Gabriel Matuschka</t>
        </is>
      </c>
      <c r="R14" s="16" t="inlineStr">
        <is>
          <t>Founding Partner / General Partner (gleichrangiges GP-Modell mit Fredrik Bergenlid, Matt Wichrowski, Marie Brayer)</t>
        </is>
      </c>
      <c r="S14" s="16" t="inlineStr">
        <is>
          <t>n/a</t>
        </is>
      </c>
      <c r="T14" s="16" t="inlineStr">
        <is>
          <t>Kein oeffentliches Pitch-Formular oder E-Mail auf fly.vc gefunden; Kontakt ueber LinkedIn der GPs</t>
        </is>
      </c>
      <c r="U14" s="16" t="inlineStr">
        <is>
          <t>Berliner First-Check-Fonds mit frischem 80-Mio.-EUR-Fonds, der fast die Haelfte seines Kapitals in AI und ein Fuenftel in Dev Tools/Infra allokiert und explizit technische Gruender in der Fruehphase anfuehrt.</t>
        </is>
      </c>
      <c r="V14" s="16" t="inlineStr">
        <is>
          <t>Kein belegtes Investment in Data Labeling oder Trainingsdaten - Fly ist eher Modell-, Robotik- und Tooling-lastig; kein oeffentlicher Kontaktweg, funktioniert stark ueber warme Intros.</t>
        </is>
      </c>
      <c r="W14" s="16" t="inlineStr">
        <is>
          <t>Ueber die Wayve-Analogie einsteigen: Ohne skalierbare, hochwertige Human-in-the-loop-Trainingsdaten kommt kein europaeisches Frontier-AI-Team in Produktion - PathWize ist dieser Layer.</t>
        </is>
      </c>
      <c r="X14" s="18" t="n">
        <v>30</v>
      </c>
      <c r="Y14" s="18" t="n">
        <v>29</v>
      </c>
      <c r="Z14" s="18" t="n">
        <v>15</v>
      </c>
      <c r="AA14" s="18" t="n">
        <v>10</v>
      </c>
      <c r="AB14" s="18" t="n">
        <v>10</v>
      </c>
      <c r="AC14" s="18" t="inlineStr">
        <is>
          <t>Hoch</t>
        </is>
      </c>
      <c r="AD14" s="15" t="inlineStr">
        <is>
          <t>Bestandsliste</t>
        </is>
      </c>
      <c r="AE14" s="16" t="inlineStr">
        <is>
          <t>https://fly.vc/</t>
        </is>
      </c>
      <c r="AF14" s="16" t="inlineStr">
        <is>
          <t>https://fly.vc/, https://techcrunch.com/2024/12/06/fly-ventures-sets-its-eyes-on-technical-founders-with-a-fresh-e80m-fund/, https://tech.eu/2024/12/06/fly-ventures-closes-eur80m-fund-iii-to-support-deeptech-founders-in-europe/, https://www.ypog.law/en/press/ypog-advises-fly-ventures-on-80-million-closing</t>
        </is>
      </c>
    </row>
    <row r="15">
      <c r="A15" s="12" t="n">
        <v>11</v>
      </c>
      <c r="B15" s="14" t="inlineStr">
        <is>
          <t>Headline</t>
        </is>
      </c>
      <c r="C15" s="13" t="inlineStr">
        <is>
          <t>A</t>
        </is>
      </c>
      <c r="D15" s="13" t="n">
        <v>94</v>
      </c>
      <c r="E15" s="15" t="inlineStr">
        <is>
          <t>Berlin (Europa-Team) / San Francisco (global)</t>
        </is>
      </c>
      <c r="F15" s="15" t="inlineStr">
        <is>
          <t>Deutschland / USA</t>
        </is>
      </c>
      <c r="G15" s="15" t="inlineStr">
        <is>
          <t>VC (global, Multi-Stage)</t>
        </is>
      </c>
      <c r="H15" s="16" t="inlineStr">
        <is>
          <t>Pre-Seed, Seed, Series A, Series B, Growth (separate Early- und Growth-Fonds)</t>
        </is>
      </c>
      <c r="I15" s="15" t="inlineStr">
        <is>
          <t>Ja, fuehrt Seed- und Series-A-Runden regelmaessig an</t>
        </is>
      </c>
      <c r="J15" s="16" t="inlineStr">
        <is>
          <t>ca. 500 Tsd. USD - 30 Mio. USD, Sweet Spot ca. 15 Mio. USD (Early-Stage-Tickets deutlich darunter)</t>
        </is>
      </c>
      <c r="K15" s="16" t="inlineStr">
        <is>
          <t>aktueller Early-Stage-Fonds ca. 230 Mio. USD; gesamt-AUM im Milliardenbereich ueber Headline/e.ventures-Historie</t>
        </is>
      </c>
      <c r="L15" s="18" t="inlineStr">
        <is>
          <t>Ja</t>
        </is>
      </c>
      <c r="M15" s="16" t="inlineStr">
        <is>
          <t>Global generalistisch-technologisch mit starkem Schwerpunkt AI, B2B-Software/SaaS, Fintech, Marktplaetze, Commerce und Deep Tech. Explizite Aussage, dass praktisch jedes Investment der letzten 24 Monate AI-Bezug hat.</t>
        </is>
      </c>
      <c r="N15" s="16" t="inlineStr">
        <is>
          <t>Mistral AI, Black Forest Labs, Leapwork (Test-Automatisierung), Automaited (AI-Agenten fuer Prozesse), Robco (Robotik), Semrush, Pismo.</t>
        </is>
      </c>
      <c r="O15" s="16" t="inlineStr">
        <is>
          <t>Hoch: mit Mistral AI und Black Forest Labs sitzt Headline direkt an Foundation-Model-Teams, die Trainings- und Evaluationsdaten als kritischen Engpass erleben.</t>
        </is>
      </c>
      <c r="P15" s="16" t="inlineStr">
        <is>
          <t>-</t>
        </is>
      </c>
      <c r="Q15" s="16" t="inlineStr">
        <is>
          <t>Christian Miele</t>
        </is>
      </c>
      <c r="R15" s="16" t="inlineStr">
        <is>
          <t>General Partner Europe, Fokus Software &amp; Deep Tech, Berlin</t>
        </is>
      </c>
      <c r="S15" s="16" t="inlineStr">
        <is>
          <t>https://www.linkedin.com/in/christianmiele</t>
        </is>
      </c>
      <c r="T15" s="16" t="inlineStr">
        <is>
          <t>hello@headline.com; Pitch ueber das Formular "Tell us about your business" auf headline.com</t>
        </is>
      </c>
      <c r="U15" s="16" t="inlineStr">
        <is>
          <t>Headline ist einer der wenigen deutschen VCs mit echten Foundation-Model-Investments (Mistral AI, Black Forest Labs) und deckt Pre-Seed bis Growth ab - die Portfolio-Naehe zu Modelltrainern macht PathWize unmittelbar anschlussfaehig.</t>
        </is>
      </c>
      <c r="V15" s="16" t="inlineStr">
        <is>
          <t>Hohe Deal-Selektivitaet und globaler Wettbewerb um Slots; durchschnittlicher Sweet Spot liegt oberhalb typischer Pre-Seed-Tickets.</t>
        </is>
      </c>
      <c r="W15" s="16" t="inlineStr">
        <is>
          <t>Ueber Christian Miele einsteigen mit der These, dass Headline-Portfoliofirmen wie Mistral und Black Forest Labs europaeische, DSGVO-konforme Human-in-the-loop-Labeling-Kapazitaet brauchen - und PathWize genau diese Luecke schliesst.</t>
        </is>
      </c>
      <c r="X15" s="18" t="n">
        <v>28</v>
      </c>
      <c r="Y15" s="18" t="n">
        <v>27</v>
      </c>
      <c r="Z15" s="18" t="n">
        <v>19</v>
      </c>
      <c r="AA15" s="18" t="n">
        <v>10</v>
      </c>
      <c r="AB15" s="18" t="n">
        <v>10</v>
      </c>
      <c r="AC15" s="18" t="inlineStr">
        <is>
          <t>Hoch</t>
        </is>
      </c>
      <c r="AD15" s="15" t="inlineStr">
        <is>
          <t>Bestandsliste</t>
        </is>
      </c>
      <c r="AE15" s="16" t="inlineStr">
        <is>
          <t>https://headline.com/</t>
        </is>
      </c>
      <c r="AF15" s="16" t="inlineStr">
        <is>
          <t>https://headline.com/, https://headline.com/team/christian-miele, https://www.linkedin.com/in/christianmiele, https://www.vcsheet.com/fund/headline, https://signal.nfx.com/investors/christian-miele</t>
        </is>
      </c>
    </row>
    <row r="16">
      <c r="A16" s="12" t="n">
        <v>12</v>
      </c>
      <c r="B16" s="14" t="inlineStr">
        <is>
          <t>Seed + Speed Ventures</t>
        </is>
      </c>
      <c r="C16" s="13" t="inlineStr">
        <is>
          <t>A</t>
        </is>
      </c>
      <c r="D16" s="13" t="n">
        <v>93</v>
      </c>
      <c r="E16" s="15" t="inlineStr">
        <is>
          <t>Berlin</t>
        </is>
      </c>
      <c r="F16" s="18" t="inlineStr">
        <is>
          <t>DE</t>
        </is>
      </c>
      <c r="G16" s="18" t="inlineStr">
        <is>
          <t>VC</t>
        </is>
      </c>
      <c r="H16" s="16" t="inlineStr">
        <is>
          <t>Pre-Seed und Seed</t>
        </is>
      </c>
      <c r="I16" s="15" t="inlineStr">
        <is>
          <t>Ja (fuehrt bzw. co-leadet Pre-Seed-/Seed-Runden an)</t>
        </is>
      </c>
      <c r="J16" s="16" t="inlineStr">
        <is>
          <t>EUR 500k bis 2,0 Mio. Erstticket, Follow-on bis EUR 5,0 Mio.</t>
        </is>
      </c>
      <c r="K16" s="16" t="inlineStr">
        <is>
          <t>seed+speed III mit EUR 90 Mio. (Closing Januar 2026, dreifaches des urspruenglichen Ziels von EUR 30 Mio.); &gt;50 Portfoliounternehmen</t>
        </is>
      </c>
      <c r="L16" s="18" t="inlineStr">
        <is>
          <t>Ja</t>
        </is>
      </c>
      <c r="M16" s="16" t="inlineStr">
        <is>
          <t>Europaeische B2B- und Enterprise-Software; Fund III explizit auf 'Enterprise AI' ausgerichtet: sicherer, compliance-konformer und produktivitaetssteigernder KI-Einsatz im Geschaeftsalltag (Security, Datenschutz, Governance, Qualitaet, Kostenkontrolle, messbare Produktivitaet)</t>
        </is>
      </c>
      <c r="N16" s="16" t="inlineStr">
        <is>
          <t>Prewave (KI-basiertes Supply-Chain-Risk-Monitoring), Delicious Data (KI-Bedarfsprognose), Enginsight (Cybersecurity-Automatisierung), Filestage, Pliant, Workmotion, Cashlink, Carbonfuture, Meisterwerk</t>
        </is>
      </c>
      <c r="O16" s="16" t="inlineStr">
        <is>
          <t>Hoch: Der Enterprise-AI-Fokus mit expliziter Betonung von Datenqualitaet, Governance und Compliance ist genau die Klammer, unter der Human-in-the-loop-Trainingsdaten argumentiert werden</t>
        </is>
      </c>
      <c r="P16" s="16" t="inlineStr">
        <is>
          <t>-</t>
        </is>
      </c>
      <c r="Q16" s="16" t="inlineStr">
        <is>
          <t>Alexander Koelpin</t>
        </is>
      </c>
      <c r="R16" s="16" t="inlineStr">
        <is>
          <t>Managing Partner / Managing Director (Co-Lead des Fonds neben Dr. Carsten Maschmeyer)</t>
        </is>
      </c>
      <c r="S16" s="16" t="inlineStr">
        <is>
          <t>https://www.linkedin.com/in/koelpin/</t>
        </is>
      </c>
      <c r="T16" s="16" t="inlineStr">
        <is>
          <t>Pitch-Deck-Formular unter https://www.seedandspeed.com/submit-pitch-deck</t>
        </is>
      </c>
      <c r="U16" s="16" t="inlineStr">
        <is>
          <t>Frisch geschlossener EUR-90-Mio.-Fonds (Januar 2026) mit ausdruecklicher Enterprise-AI-These, Pre-Seed/Seed-Fokus, DACH-Schwerpunkt und Tickets von EUR 500k bis 2 Mio. Das trifft PathWize in Stage, Geografie und Sektor punktgenau.</t>
        </is>
      </c>
      <c r="V16" s="16" t="inlineStr">
        <is>
          <t>Sehr hohe Deal-Flow-Dichte durch Maschmeyer-Brand; These betont AI-Anwendung im Unternehmensalltag, Data-Infrastruktur als Enabler-Layer muss aktiv als Enterprise-AI-Thema gerahmt werden</t>
        </is>
      </c>
      <c r="W16" s="16" t="inlineStr">
        <is>
          <t>Direkt auf die Fund-III-These aufsetzen: 'Ihr investiert in sicheren, compliance-konformen KI-Rollout - PathWize liefert die auditierbare, DSGVO-konforme Trainingsdaten-Schicht, ohne die genau dieser Rollout scheitert.'</t>
        </is>
      </c>
      <c r="X16" s="18" t="n">
        <v>30</v>
      </c>
      <c r="Y16" s="18" t="n">
        <v>28</v>
      </c>
      <c r="Z16" s="18" t="n">
        <v>15</v>
      </c>
      <c r="AA16" s="18" t="n">
        <v>10</v>
      </c>
      <c r="AB16" s="18" t="n">
        <v>10</v>
      </c>
      <c r="AC16" s="18" t="inlineStr">
        <is>
          <t>Hoch</t>
        </is>
      </c>
      <c r="AD16" s="15" t="inlineStr">
        <is>
          <t>Bestandsliste</t>
        </is>
      </c>
      <c r="AE16" s="16" t="inlineStr">
        <is>
          <t>https://www.seedandspeed.com/</t>
        </is>
      </c>
      <c r="AF16" s="16" t="inlineStr">
        <is>
          <t>https://www.seedandspeed.com/, https://tech.eu/2026/01/28/seedspeed-ventures-closes-eur90m-fund-iii-tripling-its-original-target/, https://www.vc-magazin.de/blog/2026/01/29/seedspeed-ventures-closing-2026/, https://www.trendingtopics.eu/seedspeed-ventures-closes-e90-million-fund-for-enterprise-ai/, https://www.seedandspeed.com/team/alexander-koelpin</t>
        </is>
      </c>
    </row>
    <row r="17">
      <c r="A17" s="12" t="n">
        <v>13</v>
      </c>
      <c r="B17" s="14" t="inlineStr">
        <is>
          <t>Visionaries Club</t>
        </is>
      </c>
      <c r="C17" s="13" t="inlineStr">
        <is>
          <t>A</t>
        </is>
      </c>
      <c r="D17" s="13" t="n">
        <v>93</v>
      </c>
      <c r="E17" s="15" t="inlineStr">
        <is>
          <t>Berlin (zweites Buero London)</t>
        </is>
      </c>
      <c r="F17" s="15" t="inlineStr">
        <is>
          <t>Deutschland</t>
        </is>
      </c>
      <c r="G17" s="18" t="inlineStr">
        <is>
          <t>VC</t>
        </is>
      </c>
      <c r="H17" s="16" t="inlineStr">
        <is>
          <t>Pre-Seed &amp; Seed, zusaetzlich Early-Growth-Fonds fuer Series A/B</t>
        </is>
      </c>
      <c r="I17" s="18" t="inlineStr">
        <is>
          <t>Ja</t>
        </is>
      </c>
      <c r="J17" s="16" t="inlineStr">
        <is>
          <t>1 bis 5 Mio. EUR (typisch ca. 2,5 Mio. EUR im Seed)</t>
        </is>
      </c>
      <c r="K17" s="16" t="inlineStr">
        <is>
          <t>ueber 600 Mio. USD AUM; Seed Fund ca. 150 Mio. EUR plus Tomorrow Fund ca. 50 Mio. EUR; naechster Fonds in Vorbereitung</t>
        </is>
      </c>
      <c r="L17" s="18" t="inlineStr">
        <is>
          <t>Ja</t>
        </is>
      </c>
      <c r="M17" s="16" t="inlineStr">
        <is>
          <t>Europaeische B2B-Tools und AI; Enterprise-Digitalisierung; separater 'Tomorrow Fund' fuer Frontier Science / Deep Tech; gegruendet 2019, LP-Basis aus europaeischen Unternehmerfamilien</t>
        </is>
      </c>
      <c r="N17" s="16" t="inlineStr">
        <is>
          <t>Black Forest Labs (Foundation Models fuer Bildgenerierung), n8n (Workflow-Automation / AI-Agenten), Lovable (AI-Coding), Pigment, Personio, Miro; 60+ Investments, 5 Unicorns</t>
        </is>
      </c>
      <c r="O17" s="16" t="inlineStr">
        <is>
          <t>Hoch - mit Black Forest Labs haelt der Fonds ein Foundation-Model-Lab im Portfolio, das strukturell auf hochwertige annotierte Trainingsdaten angewiesen ist</t>
        </is>
      </c>
      <c r="P17" s="16" t="inlineStr">
        <is>
          <t>-</t>
        </is>
      </c>
      <c r="Q17" s="16" t="inlineStr">
        <is>
          <t>Robert Lacher</t>
        </is>
      </c>
      <c r="R17" s="16" t="inlineStr">
        <is>
          <t>Founding Partner (fuehrt das Investmentteam gemeinsam mit Partner Venkat Kondragunta)</t>
        </is>
      </c>
      <c r="S17" s="16" t="inlineStr">
        <is>
          <t>https://de.linkedin.com/in/robert-lacher-ba58a759</t>
        </is>
      </c>
      <c r="T17" s="16" t="inlineStr">
        <is>
          <t>Kontaktformular auf https://visionaries.vc/; E-Mail-Schema vorname@visionariesclub.vc</t>
        </is>
      </c>
      <c r="U17" s="16" t="inlineStr">
        <is>
          <t>Deutlichster Treffer der Batch: Berliner Seed-Lead mit expliziter B2B-plus-AI-These, 1-5-Mio.-Tickets und einem Portfolio, das von Black Forest Labs ueber n8n bis Lovable genau die Kundenkategorie von PathWize abbildet. Geo, Stage und These stimmen ohne Einschraenkung.</t>
        </is>
      </c>
      <c r="V17" s="16" t="inlineStr">
        <is>
          <t>Investmentteam wurde auf zwei Lead-Partner verschlankt (GP-led-Modell) - weniger Einstiegspunkte; naechster Fonds noch im Raising, Timing des Deployments unklar</t>
        </is>
      </c>
      <c r="W17" s="16" t="inlineStr">
        <is>
          <t>Ueber Black Forest Labs und n8n aufhaengen: PathWize liefert die annotierte Datenschicht, die genau diese Portfolio-Companies zum Trainieren und Evaluieren ihrer Modelle brauchen.</t>
        </is>
      </c>
      <c r="X17" s="18" t="n">
        <v>28</v>
      </c>
      <c r="Y17" s="18" t="n">
        <v>29</v>
      </c>
      <c r="Z17" s="18" t="n">
        <v>17</v>
      </c>
      <c r="AA17" s="18" t="n">
        <v>9</v>
      </c>
      <c r="AB17" s="18" t="n">
        <v>10</v>
      </c>
      <c r="AC17" s="18" t="inlineStr">
        <is>
          <t>Hoch</t>
        </is>
      </c>
      <c r="AD17" s="15" t="inlineStr">
        <is>
          <t>Bestandsliste</t>
        </is>
      </c>
      <c r="AE17" s="16" t="inlineStr">
        <is>
          <t>https://visionaries.vc/</t>
        </is>
      </c>
      <c r="AF17" s="16" t="inlineStr">
        <is>
          <t>https://visionaries.vc/, https://sifted.eu/articles/visionaries-cuts-investment-team-next-fund, https://www.cbinsights.com/investor/visionaries-club, https://tracxn.com/d/venture-capital/visionaries-club/__YgvSLX9ehByMnGLXeMgEBlikYIJihThVj16XNhQVeBU, https://theorg.com/org/visionaries-club/org-chart/robert-lacher</t>
        </is>
      </c>
    </row>
    <row r="18">
      <c r="A18" s="12" t="n">
        <v>14</v>
      </c>
      <c r="B18" s="14" t="inlineStr">
        <is>
          <t>42CAP</t>
        </is>
      </c>
      <c r="C18" s="13" t="inlineStr">
        <is>
          <t>A</t>
        </is>
      </c>
      <c r="D18" s="13" t="n">
        <v>92</v>
      </c>
      <c r="E18" s="15" t="inlineStr">
        <is>
          <t>Muenchen</t>
        </is>
      </c>
      <c r="F18" s="18" t="inlineStr">
        <is>
          <t>DE</t>
        </is>
      </c>
      <c r="G18" s="18" t="inlineStr">
        <is>
          <t>VC</t>
        </is>
      </c>
      <c r="H18" s="16" t="inlineStr">
        <is>
          <t>Seed (fuehrt an), teils Pre-Seed und Series A Follow-on</t>
        </is>
      </c>
      <c r="I18" s="15" t="inlineStr">
        <is>
          <t>Ja - typischer Seed-Lead</t>
        </is>
      </c>
      <c r="J18" s="16" t="inlineStr">
        <is>
          <t>0,5-3 Mio. EUR Erstinvestment</t>
        </is>
      </c>
      <c r="K18" s="16" t="inlineStr">
        <is>
          <t>50 Mio. EUR (Fonds IV, Final Closing April 2025)</t>
        </is>
      </c>
      <c r="L18" s="18" t="inlineStr">
        <is>
          <t>Ja</t>
        </is>
      </c>
      <c r="M18" s="16" t="inlineStr">
        <is>
          <t>Seed-Investments in technologie- und datengetriebene B2B-Software aus Europa mit globalem Anspruch; Schwerpunkte AI, BioIT, Space, DLT, Quantum; 'Entrepreneurs turned VCs'</t>
        </is>
      </c>
      <c r="N18" s="16" t="inlineStr">
        <is>
          <t>Qdrant (Vector DB, Series B 50 Mio. USD), Cognee (AI Memory Engine), Adverity (Marketing-/Data-Intelligence), Katana, ARC Intelligence (Seed 2026 gemeinsam mit 468 Capital)</t>
        </is>
      </c>
      <c r="O18" s="16" t="inlineStr">
        <is>
          <t>Hoch - starke Data-Infrastruktur-Historie (Qdrant, Cognee); Trainingsdaten/Labeling bislang nicht direkt im Portfolio, aber thesenkonform</t>
        </is>
      </c>
      <c r="P18" s="16" t="inlineStr">
        <is>
          <t>Data-Infra-nah</t>
        </is>
      </c>
      <c r="Q18" s="16" t="inlineStr">
        <is>
          <t>Alex Meyer</t>
        </is>
      </c>
      <c r="R18" s="16" t="inlineStr">
        <is>
          <t>Founding Partner (Mitgruender eCircle, verkauft an Teradata); gleichrangig Thomas Wilke, Founding Partner</t>
        </is>
      </c>
      <c r="S18" s="16" t="inlineStr">
        <is>
          <t>n/a</t>
        </is>
      </c>
      <c r="T18" s="16" t="inlineStr">
        <is>
          <t>Kontakt ueber 42cap.com; keine oeffentliche Pitch-E-Mail belegt</t>
        </is>
      </c>
      <c r="U18" s="16" t="inlineStr">
        <is>
          <t>Muenchner Seed-Lead mit expliziter These auf daten- und technologiegetriebene B2B-Software und belegter Data-Infra-Kompetenz (Qdrant, Cognee) - geografisch und thematisch nahezu ideal fuer ein deutsches Data-Labeling-Startup.</t>
        </is>
      </c>
      <c r="V18" s="16" t="inlineStr">
        <is>
          <t>Fondsgroesse von nur 50 Mio. EUR begrenzt Ticket und Follow-on-Kapazitaet; sehr hohe Selektivitaet mit wenigen Deals pro Jahr; kein Series-A-Lead.</t>
        </is>
      </c>
      <c r="W18" s="16" t="inlineStr">
        <is>
          <t>Als deutsches Data-Infrastruktur-Team im Fahrwasser von Qdrant ansprechen: PathWize liefert den menschlichen Datenlayer, den Vector-DB- und Memory-Investments von 42CAP voraussetzen.</t>
        </is>
      </c>
      <c r="X18" s="18" t="n">
        <v>28</v>
      </c>
      <c r="Y18" s="18" t="n">
        <v>27</v>
      </c>
      <c r="Z18" s="18" t="n">
        <v>18</v>
      </c>
      <c r="AA18" s="18" t="n">
        <v>9</v>
      </c>
      <c r="AB18" s="18" t="n">
        <v>10</v>
      </c>
      <c r="AC18" s="18" t="inlineStr">
        <is>
          <t>Hoch</t>
        </is>
      </c>
      <c r="AD18" s="15" t="inlineStr">
        <is>
          <t>Bestandsliste</t>
        </is>
      </c>
      <c r="AE18" s="16" t="inlineStr">
        <is>
          <t>https://www.42cap.com/</t>
        </is>
      </c>
      <c r="AF18" s="16" t="inlineStr">
        <is>
          <t>https://www.42cap.com/, https://www.ypog.law/en/press/ypog-advises-42cap-on-the-structuring-of-its-fourth-fund-generation, https://www.munich-startup.de/en/50146/42cap-closes-early-stage-fund/, https://www.ypog.law/en/press/ypog-advises-42cap-on-usd-50-million-series-b-financing-round-of-berlin-based-ai-startup-qdrant</t>
        </is>
      </c>
    </row>
    <row r="19">
      <c r="A19" s="12" t="n">
        <v>15</v>
      </c>
      <c r="B19" s="14" t="inlineStr">
        <is>
          <t>b2venture (ehem. btov Partners)</t>
        </is>
      </c>
      <c r="C19" s="13" t="inlineStr">
        <is>
          <t>A</t>
        </is>
      </c>
      <c r="D19" s="13" t="n">
        <v>92</v>
      </c>
      <c r="E19" s="15" t="inlineStr">
        <is>
          <t>Berlin / Muenchen / St. Gallen / Luxemburg</t>
        </is>
      </c>
      <c r="F19" s="18" t="inlineStr">
        <is>
          <t>DE/CH</t>
        </is>
      </c>
      <c r="G19" s="15" t="inlineStr">
        <is>
          <t>VC (mit angeschlossenem Business-Angel-Netzwerk)</t>
        </is>
      </c>
      <c r="H19" s="16" t="inlineStr">
        <is>
          <t>Pre-Seed, Seed, Series A (plus Follow-ons in spaeteren Runden)</t>
        </is>
      </c>
      <c r="I19" s="15" t="inlineStr">
        <is>
          <t>Ja - fuehrt regelmaessig Seed- und Series-A-Runden an</t>
        </is>
      </c>
      <c r="J19" s="16" t="inlineStr">
        <is>
          <t>250 Tsd. - 5 Mio. EUR, Durchschnitt ca. 1 Mio. EUR</t>
        </is>
      </c>
      <c r="K19" s="16" t="inlineStr">
        <is>
          <t>Fund V: 150 Mio. EUR (groesster Early-Stage-Fonds der Firma), Ziel ca. 35 Investments; mehrere Vorgaengerfonds</t>
        </is>
      </c>
      <c r="L19" s="18" t="inlineStr">
        <is>
          <t>Ja</t>
        </is>
      </c>
      <c r="M19" s="16" t="inlineStr">
        <is>
          <t>Industrie-agnostisch mit Schwerpunkt auf skalierbare, verteidigungsfaehige Technologie: horizontale AI, Robotik, Industrial Tech, Manufacturing, Infrastruktur, Fintech, Supply Chain, Digital Health</t>
        </is>
      </c>
      <c r="N19" s="16" t="inlineStr">
        <is>
          <t>Neptune (neptune.ai, MLOps/Experiment-Tracking - Exit an OpenAI fuer kolportierte 350-400 Mio. USD), DeepL, AI21 Labs, Ledgy, Procuros</t>
        </is>
      </c>
      <c r="O19" s="16" t="inlineStr">
        <is>
          <t>Hoch - mit neptune.ai hat b2venture bereits eine Trainings-/ML-Ops-Infrastrukturfirma finanziert und mit einem AI-Lab-Exit monetarisiert; horizontale AI ist explizite These</t>
        </is>
      </c>
      <c r="P19" s="16" t="inlineStr">
        <is>
          <t>Data-Infra-nah</t>
        </is>
      </c>
      <c r="Q19" s="16" t="inlineStr">
        <is>
          <t>Andreas Goeldi</t>
        </is>
      </c>
      <c r="R19" s="16" t="inlineStr">
        <is>
          <t>Partner (Digital/Software-Fokus, Autor der b2venture Generative-AI-Investorenperspektive)</t>
        </is>
      </c>
      <c r="S19" s="16" t="inlineStr">
        <is>
          <t>n/a</t>
        </is>
      </c>
      <c r="T19" s="16" t="inlineStr">
        <is>
          <t>Kontaktformular unter https://b2venture.vc/contact; Berlin: Neue Schoenhauser Str. 8, 10178 Berlin, +49 30 346 55 84 00</t>
        </is>
      </c>
      <c r="U19" s="16" t="inlineStr">
        <is>
          <t>Exakter Stage-Match (Pre-Seed bis Series A, 250 Tsd.-5 Mio. EUR) plus frischer 150-Mio.-EUR-Fonds und mit neptune.ai eine belegte, erfolgreich exitete ML-Infrastruktur-Beteiligung - b2venture versteht Trainingsdaten-Wertschoepfung aus eigener Erfahrung.</t>
        </is>
      </c>
      <c r="V19" s="16" t="inlineStr">
        <is>
          <t>Industrie-agnostisch, kein dedizierter Data-Infra-Partner sichtbar; Angel-Netzwerk-Modell kann Entscheidungsprozess verlaengern</t>
        </is>
      </c>
      <c r="W19" s="16" t="inlineStr">
        <is>
          <t>Ueber den neptune.ai-Exit einsteigen: PathWize baut die Datenschicht, die das ML-Ops-Layer erst nutzbar macht - der logische naechste Baustein im selben Stack.</t>
        </is>
      </c>
      <c r="X19" s="18" t="n">
        <v>29</v>
      </c>
      <c r="Y19" s="18" t="n">
        <v>25</v>
      </c>
      <c r="Z19" s="18" t="n">
        <v>18</v>
      </c>
      <c r="AA19" s="18" t="n">
        <v>10</v>
      </c>
      <c r="AB19" s="18" t="n">
        <v>10</v>
      </c>
      <c r="AC19" s="18" t="inlineStr">
        <is>
          <t>Hoch</t>
        </is>
      </c>
      <c r="AD19" s="15" t="inlineStr">
        <is>
          <t>Bestandsliste</t>
        </is>
      </c>
      <c r="AE19" s="16" t="inlineStr">
        <is>
          <t>https://www.b2venture.vc/</t>
        </is>
      </c>
      <c r="AF19" s="16" t="inlineStr">
        <is>
          <t>https://www.b2venture.vc/, https://www.b2venture.vc/portfolio, https://www.vestbee.com/insights/articles/b2venture-closes-150-m-fund-v, https://www.openvc.app/fund/b2venture, https://www.caproasia.com/2025/12/07/500-billion-openai-buys-ai-model-training-startup-neptune-neptune-ai-for-around-350-million-to-400-million-founded-in-2017-by-piotr-niedzwiedz-raised-18-million-in-funding-investors-include/</t>
        </is>
      </c>
    </row>
    <row r="20">
      <c r="A20" s="12" t="n">
        <v>16</v>
      </c>
      <c r="B20" s="14" t="inlineStr">
        <is>
          <t>Lunar Ventures</t>
        </is>
      </c>
      <c r="C20" s="13" t="inlineStr">
        <is>
          <t>A</t>
        </is>
      </c>
      <c r="D20" s="13" t="n">
        <v>92</v>
      </c>
      <c r="E20" s="15" t="inlineStr">
        <is>
          <t>Berlin</t>
        </is>
      </c>
      <c r="F20" s="18" t="inlineStr">
        <is>
          <t>DE</t>
        </is>
      </c>
      <c r="G20" s="15" t="inlineStr">
        <is>
          <t>VC (Pre-Seed First-Check-Fonds)</t>
        </is>
      </c>
      <c r="H20" s="16" t="inlineStr">
        <is>
          <t>Day Zero / Pre-Seed ausschliesslich, mit 40-60% Reserve fuer Follow-ons</t>
        </is>
      </c>
      <c r="I20" s="15" t="inlineStr">
        <is>
          <t>Ja - First Check und Pre-Seed-Lead</t>
        </is>
      </c>
      <c r="J20" s="16" t="inlineStr">
        <is>
          <t>750 Tsd. - 1 Mio. EUR, geplant 25-30 Investments aus Fund II</t>
        </is>
      </c>
      <c r="K20" s="16" t="inlineStr">
        <is>
          <t>50 Mio. EUR (Fund II, Mai 2025)</t>
        </is>
      </c>
      <c r="L20" s="18" t="inlineStr">
        <is>
          <t>Ja</t>
        </is>
      </c>
      <c r="M20" s="16" t="inlineStr">
        <is>
          <t>Technische Gruender an der Schnittstelle Infrastruktur, AI, Autonomie und Science. Fund II mit drei expliziten Feldern, darunter Companies, die seltene, hochwertige Daten in grossem Massstab erheben; 80% Europa, 20% USA ausserhalb der Bay Area.</t>
        </is>
      </c>
      <c r="N20" s="16" t="inlineStr">
        <is>
          <t>deepset (Haystack, souveraene AI-Infrastruktur), Zama (FHE), ElectricSQL (Multi-Agent-Datenplattform), Bruin (Modern Data Stack), Otera, Hathora</t>
        </is>
      </c>
      <c r="O20" s="16" t="inlineStr">
        <is>
          <t>Sehr hoch - eine der drei Fund-II-Kernthesen adressiert woertlich das Erheben seltener, hochqualitativer Daten in grossem Massstab, also exakt das PathWize-Geschaeftsmodell</t>
        </is>
      </c>
      <c r="P20" s="16" t="inlineStr">
        <is>
          <t>Data-Infra-nah</t>
        </is>
      </c>
      <c r="Q20" s="16" t="inlineStr">
        <is>
          <t>Dr. Elad Verbin</t>
        </is>
      </c>
      <c r="R20" s="16" t="inlineStr">
        <is>
          <t>Partner und technischer Lead / CTO-artige Rolle; Mick Halsband und Luis Shemtov als weitere Gruendungspartner</t>
        </is>
      </c>
      <c r="S20" s="16" t="inlineStr">
        <is>
          <t>n/a</t>
        </is>
      </c>
      <c r="T20" s="16" t="inlineStr">
        <is>
          <t>Kein oeffentliches Pitch-Formular oder E-Mail auf lunar.vc gefunden</t>
        </is>
      </c>
      <c r="U20" s="16" t="inlineStr">
        <is>
          <t>Fund II nennt als eine von drei Kernthesen ausdruecklich Companies, die seltene, hochwertige Daten im grossen Massstab sammeln - das ist eine woertliche Beschreibung von PathWize, dazu Berliner Standort und frisches Kapital.</t>
        </is>
      </c>
      <c r="V20" s="16" t="inlineStr">
        <is>
          <t>Ticket bei maximal 1 Mio. EUR und reiner Pre-Seed-Fokus - fuer eine Seed- oder Series-A-Runde nicht als Lead geeignet; kleiner Fonds mit begrenzter Follow-on-Kraft; kein oeffentlicher Kontaktweg.</t>
        </is>
      </c>
      <c r="W20" s="16" t="inlineStr">
        <is>
          <t>Direkt an Elad Verbin mit der Fund-II-These spiegeln: PathWize ist die Company, die seltene, hochwertige Trainingsdaten im industriellen Massstab produziert.</t>
        </is>
      </c>
      <c r="X20" s="18" t="n">
        <v>28</v>
      </c>
      <c r="Y20" s="18" t="n">
        <v>30</v>
      </c>
      <c r="Z20" s="18" t="n">
        <v>15</v>
      </c>
      <c r="AA20" s="18" t="n">
        <v>9</v>
      </c>
      <c r="AB20" s="18" t="n">
        <v>10</v>
      </c>
      <c r="AC20" s="18" t="inlineStr">
        <is>
          <t>Hoch</t>
        </is>
      </c>
      <c r="AD20" s="15" t="inlineStr">
        <is>
          <t>Bestandsliste</t>
        </is>
      </c>
      <c r="AE20" s="16" t="inlineStr">
        <is>
          <t>https://lunar.vc/</t>
        </is>
      </c>
      <c r="AF20" s="16" t="inlineStr">
        <is>
          <t>https://lunar.vc/, https://sifted.eu/articles/lunar-ventures-raises-50m, https://www.eu-startups.com/2025/05/berlin-based-vc-firm-lunar-ventures-launches-e50-million-fund-ii-for-pre-seed-deeptech-investments/, https://siliconcanals.com/lunar-ventures-launches-50m-pre-seed-fund/</t>
        </is>
      </c>
    </row>
    <row r="21">
      <c r="A21" s="12" t="n">
        <v>17</v>
      </c>
      <c r="B21" s="14" t="inlineStr">
        <is>
          <t>MMC Ventures</t>
        </is>
      </c>
      <c r="C21" s="13" t="inlineStr">
        <is>
          <t>A</t>
        </is>
      </c>
      <c r="D21" s="13" t="n">
        <v>91</v>
      </c>
      <c r="E21" s="15" t="inlineStr">
        <is>
          <t>London</t>
        </is>
      </c>
      <c r="F21" s="15" t="inlineStr">
        <is>
          <t>Grossbritannien</t>
        </is>
      </c>
      <c r="G21" s="15" t="inlineStr">
        <is>
          <t>VC (research-led)</t>
        </is>
      </c>
      <c r="H21" s="16" t="inlineStr">
        <is>
          <t>Seed und Series A</t>
        </is>
      </c>
      <c r="I21" s="15" t="inlineStr">
        <is>
          <t>Ja - fuehrt Seed- und Series-A-Runden an, mit Follow-on-Reserven</t>
        </is>
      </c>
      <c r="J21" s="16" t="inlineStr">
        <is>
          <t>bis 10 Mio. GBP Erstinvestment, plus Follow-ons</t>
        </is>
      </c>
      <c r="K21" s="16" t="inlineStr">
        <is>
          <t>ca. 450 Mio. USD AUM ueber vier Fonds; 200+ Investments, 24 Exits (Stand Maerz 2026)</t>
        </is>
      </c>
      <c r="L21" s="18" t="inlineStr">
        <is>
          <t>Ja</t>
        </is>
      </c>
      <c r="M21" s="16" t="inlineStr">
        <is>
          <t>Dezidiert 'early-stage AI and data companies across Europe'; Schwerpunkte Enterprise AI, Cloud &amp; Data Infrastructure, Data-driven Health, TechBio, Agentic Security; publiziert eigene State-of-AI-Research</t>
        </is>
      </c>
      <c r="N21" s="16" t="inlineStr">
        <is>
          <t>Snowplow (Behavioural Data Infrastructure), Ably (Realtime-Data-Infrastruktur), Signal AI, Synthesia (AI-Video), Albatross AI, Condukt, Red Sift, Sano Genetics</t>
        </is>
      </c>
      <c r="O21" s="16" t="inlineStr">
        <is>
          <t>Kein direktes Labeling-Investment nachweisbar, aber mit Snowplow und Ably zwei reine Dateninfrastruktur-Investments - der Fonds bewertet Data-Pipeline-Geschaeftsmodelle routiniert</t>
        </is>
      </c>
      <c r="P21" s="16" t="inlineStr">
        <is>
          <t>Data-Infra-nah</t>
        </is>
      </c>
      <c r="Q21" s="16" t="inlineStr">
        <is>
          <t>Simon Menashy</t>
        </is>
      </c>
      <c r="R21" s="16" t="inlineStr">
        <is>
          <t>Partner (Enterprise AI / B2B Software); weitere: Mina Samaan (Partner), Advika Jalan, Jamie Shelton, Prakriti Roy</t>
        </is>
      </c>
      <c r="S21" s="16" t="inlineStr">
        <is>
          <t>n/a</t>
        </is>
      </c>
      <c r="T21" s="16" t="inlineStr">
        <is>
          <t>mmc.vc/contact-us (Pitch-Formular), Tel. +44 (0) 207 938 2220, 24 High Holborn, London WC1V 6AZ</t>
        </is>
      </c>
      <c r="U21" s="16" t="inlineStr">
        <is>
          <t>MMC definiert sich woertlich als Investor in 'early-stage AI and data companies across Europe' mit Cloud &amp; Data Infrastructure als eigenem Sektorfeld und belegt das mit Snowplow und Ably - thesenseitig einer der praezisesten Treffer der Batch.</t>
        </is>
      </c>
      <c r="V21" s="16" t="inlineStr">
        <is>
          <t>Schwerpunkt Seed/Series A - fuer eine reine Pre-Seed-Runde eher zu spaet; deutlich UK-lastiges Portfolio; kein AUM-Ausweis auf der eigenen Website (Zahl aus Drittquelle)</t>
        </is>
      </c>
      <c r="W21" s="16" t="inlineStr">
        <is>
          <t>Ueber das Kontaktformular mit Bezug auf MMCs eigene State-of-AI-Research pitchen: PathWize liefert die Datenqualitaets-Schicht, die MMC in seinen Enterprise-AI-Reports als Adoptions-Engpass beschreibt.</t>
        </is>
      </c>
      <c r="X21" s="18" t="n">
        <v>27</v>
      </c>
      <c r="Y21" s="18" t="n">
        <v>30</v>
      </c>
      <c r="Z21" s="18" t="n">
        <v>17</v>
      </c>
      <c r="AA21" s="18" t="n">
        <v>9</v>
      </c>
      <c r="AB21" s="18" t="n">
        <v>8</v>
      </c>
      <c r="AC21" s="15" t="inlineStr">
        <is>
          <t>Mittel</t>
        </is>
      </c>
      <c r="AD21" s="15" t="inlineStr">
        <is>
          <t>Bestandsliste</t>
        </is>
      </c>
      <c r="AE21" s="16" t="inlineStr">
        <is>
          <t>https://mmc.vc/</t>
        </is>
      </c>
      <c r="AF21" s="16" t="inlineStr">
        <is>
          <t>https://mmc.vc/, https://mmc.vc/about-us/, https://superscout.co/investor/mmc-ventures, https://startupintros.com/orgs/mmc-ventures</t>
        </is>
      </c>
    </row>
    <row r="22">
      <c r="A22" s="12" t="n">
        <v>18</v>
      </c>
      <c r="B22" s="14" t="inlineStr">
        <is>
          <t>Speedinvest (AI &amp; Infra Team)</t>
        </is>
      </c>
      <c r="C22" s="13" t="inlineStr">
        <is>
          <t>A</t>
        </is>
      </c>
      <c r="D22" s="13" t="n">
        <v>91</v>
      </c>
      <c r="E22" s="15" t="inlineStr">
        <is>
          <t>Wien (zusaetzlich Berlin, Muenchen, London, Paris)</t>
        </is>
      </c>
      <c r="F22" s="18" t="inlineStr">
        <is>
          <t>AT</t>
        </is>
      </c>
      <c r="G22" s="15" t="inlineStr">
        <is>
          <t>VC (Plattform mit vertikalen Sektor-Teams)</t>
        </is>
      </c>
      <c r="H22" s="16" t="inlineStr">
        <is>
          <t>Pre-Seed und Seed; Speedinvest Growth als separates Vehikel fuer Folgerunden</t>
        </is>
      </c>
      <c r="I22" s="15" t="inlineStr">
        <is>
          <t>Ja - Pre-Seed- und Seed-Lead</t>
        </is>
      </c>
      <c r="J22" s="16" t="inlineStr">
        <is>
          <t>n/a - typische Erstickets im niedrigen einstelligen Mio.-EUR-Bereich</t>
        </is>
      </c>
      <c r="K22" s="16" t="inlineStr">
        <is>
          <t>350 Mio. EUR (Fund IV, 2024); ueber 1 Mrd. EUR AUM, 400+ Portfoliounternehmen</t>
        </is>
      </c>
      <c r="L22" s="18" t="inlineStr">
        <is>
          <t>Ja</t>
        </is>
      </c>
      <c r="M22" s="16" t="inlineStr">
        <is>
          <t>Dediziertes 'AI &amp; Infra'-Team: Investments in AI-Infrastruktur und Agent-Plattformen - von Modellen, Daten und Orchestrierung bis Security, Monitoring und Deployment; plus AI-native Anwendungen. Separates Deep-Tech-Team.</t>
        </is>
      </c>
      <c r="N22" s="16" t="inlineStr">
        <is>
          <t>Bitfount (Federated AI / Data Collaboration), Alinia AI, Emmi AI, Boltzbit, Adverity, Prewave, Bitmovin</t>
        </is>
      </c>
      <c r="O22" s="16" t="inlineStr">
        <is>
          <t>Mittel bis hoch - 'Daten' ist expliziter Bestandteil der AI-&amp;-Infra-These, aber kein Labeling-/Annotation-Investment belegt</t>
        </is>
      </c>
      <c r="P22" s="16" t="inlineStr">
        <is>
          <t>-</t>
        </is>
      </c>
      <c r="Q22" s="16" t="inlineStr">
        <is>
          <t>Markus Lang</t>
        </is>
      </c>
      <c r="R22" s="16" t="inlineStr">
        <is>
          <t>General Partner, AI &amp; Infra Team (zuvor verantwortlich fuer Pre-Seed-Aktivitaeten); Partner Frederik Hagenauer und Florian Obst im selben Team</t>
        </is>
      </c>
      <c r="S22" s="16" t="inlineStr">
        <is>
          <t>n/a (Profilseite: https://www.speedinvest.com/team-members/markus-lang)</t>
        </is>
      </c>
      <c r="T22" s="16" t="inlineStr">
        <is>
          <t>Pitch-/Kontaktformular auf speedinvest.com</t>
        </is>
      </c>
      <c r="U22" s="16" t="inlineStr">
        <is>
          <t>Groesster DACH-Fruehphasenfonds mit einem dedizierten AI-&amp;-Infra-Team, dessen These 'Daten' ausdruecklich als Investitionsfeld nennt, und mit Pre-Seed/Seed-Lead-Mandat direkt im Zielsegment von PathWize.</t>
        </is>
      </c>
      <c r="V22" s="16" t="inlineStr">
        <is>
          <t>Sehr breites Plattformportfolio mit 400+ Companies, entsprechend geringere Aufmerksamkeit pro Investment; kein belegtes Trainingsdaten-Investment; Ticketgroessen nicht oeffentlich.</t>
        </is>
      </c>
      <c r="W22" s="16" t="inlineStr">
        <is>
          <t>Direkt beim AI-&amp;-Infra-Team ansetzen und PathWize als den Daten-Baustein ihrer eigenen 'models, data, orchestration'-These positionieren, mit DACH-Enterprise-Kunden als Beleg.</t>
        </is>
      </c>
      <c r="X22" s="18" t="n">
        <v>30</v>
      </c>
      <c r="Y22" s="18" t="n">
        <v>28</v>
      </c>
      <c r="Z22" s="18" t="n">
        <v>14</v>
      </c>
      <c r="AA22" s="18" t="n">
        <v>9</v>
      </c>
      <c r="AB22" s="18" t="n">
        <v>10</v>
      </c>
      <c r="AC22" s="18" t="inlineStr">
        <is>
          <t>Hoch</t>
        </is>
      </c>
      <c r="AD22" s="15" t="inlineStr">
        <is>
          <t>Bestandsliste</t>
        </is>
      </c>
      <c r="AE22" s="16" t="inlineStr">
        <is>
          <t>https://www.speedinvest.com/ai-and-infra</t>
        </is>
      </c>
      <c r="AF22" s="16" t="inlineStr">
        <is>
          <t>https://www.speedinvest.com/ai-and-infra, https://www.speedinvest.com/team-members/markus-lang, https://www.speedinvest.com/knowledge/future-proofing-speedinvest-meet-the-management-team-leading-us-into-our-next-generation-of-success, https://www.speedinvest.com/portfolio</t>
        </is>
      </c>
    </row>
    <row r="23">
      <c r="A23" s="12" t="n">
        <v>19</v>
      </c>
      <c r="B23" s="14" t="inlineStr">
        <is>
          <t>High-Tech Gruenderfonds (HTGF)</t>
        </is>
      </c>
      <c r="C23" s="13" t="inlineStr">
        <is>
          <t>A</t>
        </is>
      </c>
      <c r="D23" s="13" t="n">
        <v>90</v>
      </c>
      <c r="E23" s="15" t="inlineStr">
        <is>
          <t>Bonn (weitere Bueros Berlin, Muenchen)</t>
        </is>
      </c>
      <c r="F23" s="15" t="inlineStr">
        <is>
          <t>Deutschland</t>
        </is>
      </c>
      <c r="G23" s="15" t="inlineStr">
        <is>
          <t>Public-Private VC (Seed-Fonds, BMWE/KfW Capital + ca. 45 Industriepartner)</t>
        </is>
      </c>
      <c r="H23" s="16" t="inlineStr">
        <is>
          <t>Pre-Seed und Seed, mit substanziellen Folgeinvestments in spaeteren Runden</t>
        </is>
      </c>
      <c r="I23" s="15" t="inlineStr">
        <is>
          <t>Ja, klassischer Lead-/Co-Lead-Investor in deutschen Seed-Runden</t>
        </is>
      </c>
      <c r="J23" s="16" t="inlineStr">
        <is>
          <t>Erstticket ca. 0,8 - 1 Mio. EUR, in Summe bis zu mehreren Mio. EUR ueber Folgerunden</t>
        </is>
      </c>
      <c r="K23" s="16" t="inlineStr">
        <is>
          <t>ueber 2 Mrd. EUR Fondsvolumen kumuliert; ueber 780 finanzierte Startups, ca. 200 Exits</t>
        </is>
      </c>
      <c r="L23" s="18" t="inlineStr">
        <is>
          <t>Ja</t>
        </is>
      </c>
      <c r="M23" s="16" t="inlineStr">
        <is>
          <t>Deep Tech, Digital Tech, Industrial Tech, Climate Tech, Life Sciences, Chemie. Im Segment Digital Tech werden AI/ML-Teams explizit adressiert - gesucht werden neuartige Architekturen, proprietaere Daten und klarer Kunden-ROI.</t>
        </is>
      </c>
      <c r="N23" s="16" t="inlineStr">
        <is>
          <t>SKY ENGINE AI (synthetische Trainingsdaten fuer Computer Vision), zahlreiche weitere Digital-Tech-/AI-Beteiligungen im Portfolio von ueber 780 Unternehmen.</t>
        </is>
      </c>
      <c r="O23" s="16" t="inlineStr">
        <is>
          <t>Sehr hoch: Mit SKY ENGINE AI hat HTGF bereits in Trainingsdaten-Erzeugung fuer Computer Vision investiert - direkt benachbart zu PathWize' Kerngeschaeft.</t>
        </is>
      </c>
      <c r="P23" s="16" t="inlineStr">
        <is>
          <t>DIREKT: Sky Engine – Wettbewerbskonflikt pruefen</t>
        </is>
      </c>
      <c r="Q23" s="16" t="inlineStr">
        <is>
          <t>Dr. Tanja Emmerling</t>
        </is>
      </c>
      <c r="R23" s="16" t="inlineStr">
        <is>
          <t>Partner, Head of Digital Tech (Team Digital Tech mit Markus Kressmann, Frank Kerim Reinecke, Dr. Ulrich Schmitt, Axel Nitsch)</t>
        </is>
      </c>
      <c r="S23" s="16" t="inlineStr">
        <is>
          <t>n/a</t>
        </is>
      </c>
      <c r="T23" s="16" t="inlineStr">
        <is>
          <t>info@htgf.de; Pitch-Deck-Upload unter https://www.htgf.de/en/pitch-deck-upload/</t>
        </is>
      </c>
      <c r="U23" s="16" t="inlineStr">
        <is>
          <t>HTGF ist der aktivste deutsche Pre-Seed-/Seed-Investor mit ueber 2 Mrd. EUR Fondsvolumen, adressiert AI/ML-Teams im Segment Digital Tech ausdruecklich und hat mit SKY ENGINE AI ein direktes Trainingsdaten-Investment.</t>
        </is>
      </c>
      <c r="V23" s="16" t="inlineStr">
        <is>
          <t>Standardisierte Beteiligungskonditionen und Wandeldarlehen-Logik; Unternehmen darf i.d.R. nicht aelter als drei Jahre sein; als Seed-Fonds oft nicht ausreichend fuer eine groessere Series A allein.</t>
        </is>
      </c>
      <c r="W23" s="16" t="inlineStr">
        <is>
          <t>Pitch-Deck an info@htgf.de mit direkter Referenz auf das SKY-ENGINE-AI-Investment: PathWize liefert die Human-in-the-loop-Ebene, die synthetische Daten allein nicht abdecken.</t>
        </is>
      </c>
      <c r="X23" s="18" t="n">
        <v>30</v>
      </c>
      <c r="Y23" s="18" t="n">
        <v>24</v>
      </c>
      <c r="Z23" s="18" t="n">
        <v>16</v>
      </c>
      <c r="AA23" s="18" t="n">
        <v>10</v>
      </c>
      <c r="AB23" s="18" t="n">
        <v>10</v>
      </c>
      <c r="AC23" s="18" t="inlineStr">
        <is>
          <t>Hoch</t>
        </is>
      </c>
      <c r="AD23" s="15" t="inlineStr">
        <is>
          <t>Bestandsliste</t>
        </is>
      </c>
      <c r="AE23" s="16" t="inlineStr">
        <is>
          <t>https://www.htgf.de/</t>
        </is>
      </c>
      <c r="AF23" s="16" t="inlineStr">
        <is>
          <t>https://www.htgf.de/en/digital-tech/, https://www.htgf.de/en/venture-capital-investor-2/, https://www.htgf.de/en/htgf-investment-sky-engine-ai/, https://superscout.co/investor/htgf-high-tech-grunderfonds, https://en.wikipedia.org/wiki/High-Tech_Gr%C3%BCnderfonds</t>
        </is>
      </c>
    </row>
    <row r="24">
      <c r="A24" s="12" t="n">
        <v>20</v>
      </c>
      <c r="B24" s="14" t="inlineStr">
        <is>
          <t>Partech</t>
        </is>
      </c>
      <c r="C24" s="13" t="inlineStr">
        <is>
          <t>A</t>
        </is>
      </c>
      <c r="D24" s="13" t="n">
        <v>90</v>
      </c>
      <c r="E24" s="15" t="inlineStr">
        <is>
          <t>Paris (zusaetzlich Berlin, London, San Francisco, Dakar)</t>
        </is>
      </c>
      <c r="F24" s="18" t="inlineStr">
        <is>
          <t>FR</t>
        </is>
      </c>
      <c r="G24" s="15" t="inlineStr">
        <is>
          <t>VC (Multi-Stage-Plattform mit eigenem Seed-Fonds)</t>
        </is>
      </c>
      <c r="H24" s="16" t="inlineStr">
        <is>
          <t>Partech Seed (ab Tag 1), Partech Venture (Series A/B), Partech Growth, Partech Africa, Partech Impact</t>
        </is>
      </c>
      <c r="I24" s="15" t="inlineStr">
        <is>
          <t>Ja - fuehrt Seed- und Series-A-Runden an bzw. co-leadet (z.B. Prolific Series A)</t>
        </is>
      </c>
      <c r="J24" s="16" t="inlineStr">
        <is>
          <t>Seed 0,3-3 Mio. EUR; Venture 5-12 Mio. EUR; Growth 25-70 Mio. EUR</t>
        </is>
      </c>
      <c r="K24" s="16" t="inlineStr">
        <is>
          <t>Fondsgroessen der einzelnen Vehikel nicht durchgaengig oeffentlich; Growth-Strategie allein ueber 1 Mrd. EUR ueber zwei Fonds</t>
        </is>
      </c>
      <c r="L24" s="15" t="inlineStr">
        <is>
          <t>Teilweise</t>
        </is>
      </c>
      <c r="M24" s="16" t="inlineStr">
        <is>
          <t>Multi-Stage-Plattform mit Fokus auf B2B-Digitalisierung, Enterprise-Software, Security, Cloud, Fintech, Healthcare und AI; Seed-Fonds mit 100 Unternehmer-Investoren als Co-Investoren</t>
        </is>
      </c>
      <c r="N24" s="16" t="inlineStr">
        <is>
          <t>V7 Labs (Trainingsdaten-Plattform, Seed-Investor), Prolific (Human-Data-Plattform fuer AI-Training und -Evaluation, 25 Mio. GBP Series A co-gefuehrt), breites Enterprise-Software-Portfolio</t>
        </is>
      </c>
      <c r="O24" s="16" t="inlineStr">
        <is>
          <t>Sehr hoch - zwei belegte Investments in Human-Data/Trainingsdaten (V7 Labs und Prolific); Partech ist damit einer der wenigen europaeischen Fonds mit Doppelerfahrung in dieser Kategorie</t>
        </is>
      </c>
      <c r="P24" s="16" t="inlineStr">
        <is>
          <t>DIREKT: Prolific, V7 – Wettbewerbskonflikt pruefen</t>
        </is>
      </c>
      <c r="Q24" s="16" t="inlineStr">
        <is>
          <t>Omri Benayoun</t>
        </is>
      </c>
      <c r="R24" s="16" t="inlineStr">
        <is>
          <t>General Partner, verantwortet die Growth-Strategie (nicht Seed) - fuehrte das Prolific-Investment. Fuer Pre-Seed/Seed ist das Partech-Seed-Team der richtige Einstieg.</t>
        </is>
      </c>
      <c r="S24" s="16" t="inlineStr">
        <is>
          <t>n/a</t>
        </is>
      </c>
      <c r="T24" s="16" t="inlineStr">
        <is>
          <t>Kontaktformular auf partechpartners.com</t>
        </is>
      </c>
      <c r="U24" s="16" t="inlineStr">
        <is>
          <t>Partech hat mit V7 Labs und Prolific gleich zwei Trainingsdaten-/Human-Data-Companies finanziert und bietet mit dem Seed-Fonds (0,3-3 Mio. EUR ab Tag 1) plus Berliner Buero einen durchgaengigen Kapitalpfad bis Series A und darueber hinaus.</t>
        </is>
      </c>
      <c r="V24" s="16" t="inlineStr">
        <is>
          <t>Omri Benayoun deckt die Growth-Strategie ab, nicht Seed - die Ausgangsannahme aus der Batch-Datei ist hier zu korrigieren; V7 und Prolific koennen als Wettbewerber Konflikte erzeugen; sehr grosse generalistische Plattform ohne dedizierte Data-Infra-These.</t>
        </is>
      </c>
      <c r="W24" s="16" t="inlineStr">
        <is>
          <t>Beim Partech-Seed-Team einsteigen und die eigene Prolific-/V7-Erfahrung des Hauses als Beleg nutzen, dass Human-in-the-loop-Trainingsdaten eine eigene Kategorie sind - mit PathWize als DACH-Enterprise-Variante.</t>
        </is>
      </c>
      <c r="X24" s="18" t="n">
        <v>28</v>
      </c>
      <c r="Y24" s="18" t="n">
        <v>24</v>
      </c>
      <c r="Z24" s="18" t="n">
        <v>20</v>
      </c>
      <c r="AA24" s="18" t="n">
        <v>9</v>
      </c>
      <c r="AB24" s="18" t="n">
        <v>9</v>
      </c>
      <c r="AC24" s="15" t="inlineStr">
        <is>
          <t>Mittel</t>
        </is>
      </c>
      <c r="AD24" s="15" t="inlineStr">
        <is>
          <t>Bestandsliste</t>
        </is>
      </c>
      <c r="AE24" s="16" t="inlineStr">
        <is>
          <t>https://partechpartners.com/</t>
        </is>
      </c>
      <c r="AF24" s="16" t="inlineStr">
        <is>
          <t>https://partechpartners.com/funds, https://partechpartners.com/news/prolific-announces-25m-funding-to-improve-ai-systems-with-high-quality-verifiable-human-insights, https://partechpartners.com/news/v7-labs-raises-3-million-empower-ai-teams-automated-training-data-workflows, https://partechpartners.com/team/omri-benayoun</t>
        </is>
      </c>
    </row>
    <row r="25">
      <c r="A25" s="12" t="n">
        <v>21</v>
      </c>
      <c r="B25" s="14" t="inlineStr">
        <is>
          <t>TS Ventures</t>
        </is>
      </c>
      <c r="C25" s="13" t="inlineStr">
        <is>
          <t>A</t>
        </is>
      </c>
      <c r="D25" s="13" t="n">
        <v>90</v>
      </c>
      <c r="E25" s="15" t="inlineStr">
        <is>
          <t>Bergisch Gladbach / Köln</t>
        </is>
      </c>
      <c r="F25" s="15" t="inlineStr">
        <is>
          <t>Deutschland</t>
        </is>
      </c>
      <c r="G25" s="15" t="inlineStr">
        <is>
          <t>VC (Founder-led, Angel-nah)</t>
        </is>
      </c>
      <c r="H25" s="16" t="inlineStr">
        <is>
          <t>Pre-Seed und Seed</t>
        </is>
      </c>
      <c r="I25" s="15" t="inlineStr">
        <is>
          <t>Teilweise – führt kleine Pre-Seed-Runden an, sonst Co-Investor</t>
        </is>
      </c>
      <c r="J25" s="16" t="inlineStr">
        <is>
          <t>100.000 – 500.000 EUR Initial-Ticket</t>
        </is>
      </c>
      <c r="K25" s="16" t="inlineStr">
        <is>
          <t>n/a (nicht offengelegt; &gt;20 Portfolio-Companies)</t>
        </is>
      </c>
      <c r="L25" s="18" t="inlineStr">
        <is>
          <t>Ja</t>
        </is>
      </c>
      <c r="M25" s="16" t="inlineStr">
        <is>
          <t>Explizit: technische Gründer, die AI, SaaS, DevTools und B2B-Infrastruktur bauen; Geografie Deutschland, EU und USA</t>
        </is>
      </c>
      <c r="N25" s="16" t="inlineStr">
        <is>
          <t>Peec AI (AI-Visibility-Analytics), Jamie (AI-Notizassistent für regulierte Umgebungen), Impossible Cloud (dezentrale Cloud-Storage-/Compute-Infrastruktur), PiwikPro (Analytics), saas.group, Ecosia, Pachama</t>
        </is>
      </c>
      <c r="O25" s="16" t="inlineStr">
        <is>
          <t>Hoch – die These 'AI + DevTools + B2B-Infrastruktur' deckt Data-Infrastruktur direkt ab; kein reines Labeling-Investment belegt, aber Impossible Cloud und Peec AI zeigen den Infra-Appetit</t>
        </is>
      </c>
      <c r="P25" s="16" t="inlineStr">
        <is>
          <t>-</t>
        </is>
      </c>
      <c r="Q25" s="16" t="inlineStr">
        <is>
          <t>Tim Schumacher</t>
        </is>
      </c>
      <c r="R25" s="16" t="inlineStr">
        <is>
          <t>Partner &amp; Co-Founder (zuvor Co-Founder Sedo.com, Chairman Ecosia); weiterer Partner: Stephan Jacquemot; Adrian Sinner-Dorsch (Investment Manager)</t>
        </is>
      </c>
      <c r="S25" s="16" t="inlineStr">
        <is>
          <t>n/a</t>
        </is>
      </c>
      <c r="T25" s="16" t="inlineStr">
        <is>
          <t>Pitch-Formular (Google Form) verlinkt auf tsventures.io; LinkedIn: https://www.linkedin.com/company/tsventures</t>
        </is>
      </c>
      <c r="U25" s="16" t="inlineStr">
        <is>
          <t>Wortwörtliche These-Übereinstimmung: TS Ventures investiert explizit in technische Gründer im Bereich AI, DevTools und B2B-Infrastruktur in Pre-Seed/Seed in Deutschland. Portfolio (Peec AI, Jamie, Impossible Cloud) belegt echten AI-/Infra-Track-Record.</t>
        </is>
      </c>
      <c r="V25" s="16" t="inlineStr">
        <is>
          <t>Kleines Ticket (100–500 TEUR) – kann eine Seed-Runde nicht allein tragen und führt selten größere Runden an; Fondsgröße intransparent</t>
        </is>
      </c>
      <c r="W25" s="16" t="inlineStr">
        <is>
          <t>Direkt über das Pitch-Formular mit der Botschaft: 'Wir sind technische Gründer und bauen die B2B-Dateninfrastruktur-Schicht (Human-in-the-loop Trainingsdaten), auf der eure AI-Portfolio-Companies aufsetzen.'</t>
        </is>
      </c>
      <c r="X25" s="18" t="n">
        <v>26</v>
      </c>
      <c r="Y25" s="18" t="n">
        <v>30</v>
      </c>
      <c r="Z25" s="18" t="n">
        <v>16</v>
      </c>
      <c r="AA25" s="18" t="n">
        <v>8</v>
      </c>
      <c r="AB25" s="18" t="n">
        <v>10</v>
      </c>
      <c r="AC25" s="18" t="inlineStr">
        <is>
          <t>Hoch</t>
        </is>
      </c>
      <c r="AD25" s="15" t="inlineStr">
        <is>
          <t>Bestandsliste</t>
        </is>
      </c>
      <c r="AE25" s="16" t="inlineStr">
        <is>
          <t>https://www.tsventures.io/</t>
        </is>
      </c>
      <c r="AF25" s="16" t="inlineStr">
        <is>
          <t>https://www.tsventures.io/, https://www.startbase.com/organization/ts-ventures/, https://www.crunchbase.com/organization/ts-ventures-gmbh</t>
        </is>
      </c>
    </row>
    <row r="26">
      <c r="A26" s="12" t="n">
        <v>22</v>
      </c>
      <c r="B26" s="14" t="inlineStr">
        <is>
          <t>Zetta Venture Partners</t>
        </is>
      </c>
      <c r="C26" s="13" t="inlineStr">
        <is>
          <t>A</t>
        </is>
      </c>
      <c r="D26" s="13" t="n">
        <v>90</v>
      </c>
      <c r="E26" s="15" t="inlineStr">
        <is>
          <t>San Francisco (zusaetzlich New York)</t>
        </is>
      </c>
      <c r="F26" s="18" t="inlineStr">
        <is>
          <t>US</t>
        </is>
      </c>
      <c r="G26" s="18" t="inlineStr">
        <is>
          <t>VC</t>
        </is>
      </c>
      <c r="H26" s="16" t="inlineStr">
        <is>
          <t>Pre-Seed / Seed als Kern, Folgeinvestments bis Series B; ausschliesslich AI-first B2B</t>
        </is>
      </c>
      <c r="I26" s="15" t="inlineStr">
        <is>
          <t>Ja - fuehrt oder co-fuehrt die grosse Mehrheit ihrer Pre-Seed- und Seed-Runden an</t>
        </is>
      </c>
      <c r="J26" s="16" t="inlineStr">
        <is>
          <t>1-5 Mio. USD</t>
        </is>
      </c>
      <c r="K26" s="16" t="inlineStr">
        <is>
          <t>180 Mio. USD (Fund III, 2020); Fund IV existiert, Groesse n/a</t>
        </is>
      </c>
      <c r="L26" s="18" t="inlineStr">
        <is>
          <t>Ja</t>
        </is>
      </c>
      <c r="M26" s="16" t="inlineStr">
        <is>
          <t>'First Believers in AI Native Founders' - ausschliesslich AI-first Companies mit B2B-Modell; explizit AI-Anwendungen, Developer Tools und Dateninfrastruktur, proprietaere Daten als Moat</t>
        </is>
      </c>
      <c r="N26" s="16" t="inlineStr">
        <is>
          <t>Weaviate (Vector DB, 50 Mio. USD Series C 2025), MotherDuck, Tabular, Domino Data Lab (MLOps), Kaggle, Lilt (Human-in-the-loop-Uebersetzung), Clearbit, Tractable, Nabla</t>
        </is>
      </c>
      <c r="O26" s="16" t="inlineStr">
        <is>
          <t>Hoch - Lilt ist ein Human-in-the-loop-Modell, Domino Data Lab und Kaggle sind ML-Workflow-nah; kein reines Annotation-Investment belegt</t>
        </is>
      </c>
      <c r="P26" s="16" t="inlineStr">
        <is>
          <t>Data-Infra-nah</t>
        </is>
      </c>
      <c r="Q26" s="16" t="inlineStr">
        <is>
          <t>Apoorva Pandhi</t>
        </is>
      </c>
      <c r="R26" s="16" t="inlineStr">
        <is>
          <t>Managing Partner (Fokus AI-native Infrastruktur und Anwendungen); daneben Jocelyn Goldfein (Managing Director) und Gruender Mark Gorenberg</t>
        </is>
      </c>
      <c r="S26" s="16" t="inlineStr">
        <is>
          <t>n/a</t>
        </is>
      </c>
      <c r="T26" s="16" t="inlineStr">
        <is>
          <t>Kein oeffentliches Pitch-Formular auf zettavp.com gefunden; Buero 168 South Park, San Francisco</t>
        </is>
      </c>
      <c r="U26" s="16" t="inlineStr">
        <is>
          <t>Der erste Fonds ueberhaupt mit reiner AI-first-These und expliziter Dateninfrastruktur-Allokation; fuehrt Seed-Runden an und hat mit Weaviate, Domino und Lilt exakt das benachbarte Portfolio.</t>
        </is>
      </c>
      <c r="V26" s="16" t="inlineStr">
        <is>
          <t>US-Fonds ohne europaeisches Buero - DACH-Deals sind die Ausnahme, US-Inkorporation wird oft erwartet; Fund-IV-Groesse und aktuelle Dry-Powder-Lage nicht belegbar; kein oeffentlicher Kontaktweg.</t>
        </is>
      </c>
      <c r="W26" s="16" t="inlineStr">
        <is>
          <t>Als AI-first Data-Company mit europaeischem Enterprise- und Compliance-Zugang pitchen, die den Trainingsdaten-Moat liefert, den Zettas These zum Kern erklaert.</t>
        </is>
      </c>
      <c r="X26" s="18" t="n">
        <v>29</v>
      </c>
      <c r="Y26" s="18" t="n">
        <v>30</v>
      </c>
      <c r="Z26" s="18" t="n">
        <v>18</v>
      </c>
      <c r="AA26" s="18" t="n">
        <v>9</v>
      </c>
      <c r="AB26" s="18" t="n">
        <v>4</v>
      </c>
      <c r="AC26" s="15" t="inlineStr">
        <is>
          <t>Mittel</t>
        </is>
      </c>
      <c r="AD26" s="15" t="inlineStr">
        <is>
          <t>Bestandsliste</t>
        </is>
      </c>
      <c r="AE26" s="16" t="inlineStr">
        <is>
          <t>https://www.zettavp.com/</t>
        </is>
      </c>
      <c r="AF26" s="16" t="inlineStr">
        <is>
          <t>https://www.zettavp.com/, https://tracxn.com/d/venture-capital/zetta-venture-partners/__XpixmCvlgJI8mxZFeF9YzDGLQCqddLJpDFS5w3nrBV0, https://www.vcsheet.com/fund/zetta-venture-partners, https://pitchbook.com/profiles/fund/25732-27F</t>
        </is>
      </c>
    </row>
    <row r="27">
      <c r="A27" s="12" t="n">
        <v>23</v>
      </c>
      <c r="B27" s="14" t="inlineStr">
        <is>
          <t>Atlantic Labs</t>
        </is>
      </c>
      <c r="C27" s="13" t="inlineStr">
        <is>
          <t>A</t>
        </is>
      </c>
      <c r="D27" s="13" t="n">
        <v>89</v>
      </c>
      <c r="E27" s="15" t="inlineStr">
        <is>
          <t>Berlin (Rosenthaler Str. 13, 10119)</t>
        </is>
      </c>
      <c r="F27" s="18" t="inlineStr">
        <is>
          <t>DE</t>
        </is>
      </c>
      <c r="G27" s="18" t="inlineStr">
        <is>
          <t>VC</t>
        </is>
      </c>
      <c r="H27" s="16" t="inlineStr">
        <is>
          <t>Pre-Seed (Schwerpunkt), Seed, selektiv Series A</t>
        </is>
      </c>
      <c r="I27" s="15" t="inlineStr">
        <is>
          <t>Ja - fuehrt Pre-Seed-Runden europaweit an ('leads pre-seed rounds with speed and conviction')</t>
        </is>
      </c>
      <c r="J27" s="16" t="inlineStr">
        <is>
          <t>ca. 25.000 EUR bis 5 Mio. EUR+ (Erstticket typischerweise Pre-Seed-Groesse)</t>
        </is>
      </c>
      <c r="K27" s="16" t="inlineStr">
        <is>
          <t>Fuenfter Early-Stage-Fonds ca. 80 Mio. EUR; 215+ Portfoliounternehmen seit 2013</t>
        </is>
      </c>
      <c r="L27" s="18" t="inlineStr">
        <is>
          <t>Ja</t>
        </is>
      </c>
      <c r="M27" s="16" t="inlineStr">
        <is>
          <t>Thesengetrieben mit vier Kernfeldern: AI &amp; Compute, Energy &amp; Climate, Industrial &amp; Robotics, Space &amp; Security; Pre-Seed-First, Hands-on bei Fundraising und Hiring</t>
        </is>
      </c>
      <c r="N27" s="16" t="inlineStr">
        <is>
          <t>Eigene Vertikale 'AI &amp; Compute'; belegt u.a. Softr (AI-Plattform fuer Business-Software ohne Code); historisch breites Tech-Portfolio (SoundCloud, GetYourGuide, Clue, Vimcar). Vollstaendige AI-Portfolioliste ueber die Website nicht abrufbar (403)</t>
        </is>
      </c>
      <c r="O27" s="16" t="inlineStr">
        <is>
          <t>Hoch: 'AI &amp; Compute' als explizite Investmentvertikale macht Trainingsdaten-/Data-Infrastruktur zum Kernthema; ein direktes Labeling-Investment ist jedoch nicht belegbar</t>
        </is>
      </c>
      <c r="P27" s="16" t="inlineStr">
        <is>
          <t>-</t>
        </is>
      </c>
      <c r="Q27" s="16" t="inlineStr">
        <is>
          <t>Christophe Maire</t>
        </is>
      </c>
      <c r="R27" s="16" t="inlineStr">
        <is>
          <t>Founder &amp; Managing Partner (Team von 19 Personen, davon 4 Partner)</t>
        </is>
      </c>
      <c r="S27" s="16" t="inlineStr">
        <is>
          <t>n/a</t>
        </is>
      </c>
      <c r="T27" s="16" t="inlineStr">
        <is>
          <t>Ueber Website https://atlantic.vc/ bzw. LinkedIn https://www.linkedin.com/company/atlantic-labs; Standort Rosenthaler Str. 13, 10119 Berlin</t>
        </is>
      </c>
      <c r="U27" s="16" t="inlineStr">
        <is>
          <t>Einer der wenigen deutschen Fonds, die Pre-Seed aktiv anfuehren, mit 'AI &amp; Compute' als offiziell ausgewiesener Kernvertikale und frischem ca. 80-Mio.-EUR-Fonds. Stage, These, Geo und Ticketgroesse passen fuer PathWize praktisch ideal.</t>
        </is>
      </c>
      <c r="V27" s="16" t="inlineStr">
        <is>
          <t>Website liefert derzeit 403 - Portfolio- und Kontaktdetails nur ueber Drittquellen verifizierbar; sehr breites Themenspektrum (Space, Climate, Robotics) bedeutet Konkurrenz um Fondskapazitaet; kein belegtes reines Labeling-Investment</t>
        </is>
      </c>
      <c r="W27" s="16" t="inlineStr">
        <is>
          <t>Direkt auf die 'AI &amp; Compute'-These zielen: PathWize ist das Datenfundament dieser Vertikale und sucht einen Pre-Seed-Lead, der wie Atlantic schnell und mit Konviktion entscheidet.</t>
        </is>
      </c>
      <c r="X27" s="18" t="n">
        <v>29</v>
      </c>
      <c r="Y27" s="18" t="n">
        <v>27</v>
      </c>
      <c r="Z27" s="18" t="n">
        <v>14</v>
      </c>
      <c r="AA27" s="18" t="n">
        <v>9</v>
      </c>
      <c r="AB27" s="18" t="n">
        <v>10</v>
      </c>
      <c r="AC27" s="15" t="inlineStr">
        <is>
          <t>Mittel</t>
        </is>
      </c>
      <c r="AD27" s="15" t="inlineStr">
        <is>
          <t>Bestandsliste</t>
        </is>
      </c>
      <c r="AE27" s="16" t="inlineStr">
        <is>
          <t>https://atlantic.vc/ (frueher atlanticlabs.de)</t>
        </is>
      </c>
      <c r="AF27" s="16" t="inlineStr">
        <is>
          <t>https://atlantic.vc/, https://tracxn.com/d/venture-capital/atlantic-labs/__Z65_wq8XFTCRyAdtte4xbdksTprX-lRKBfRfL8TmQU4, https://superscout.co/investor/atlantic-labs, https://www.crunchbase.com/organization/atlantic-labs</t>
        </is>
      </c>
    </row>
    <row r="28">
      <c r="A28" s="12" t="n">
        <v>24</v>
      </c>
      <c r="B28" s="14" t="inlineStr">
        <is>
          <t>Capnamic Ventures</t>
        </is>
      </c>
      <c r="C28" s="13" t="inlineStr">
        <is>
          <t>A</t>
        </is>
      </c>
      <c r="D28" s="13" t="n">
        <v>89</v>
      </c>
      <c r="E28" s="15" t="inlineStr">
        <is>
          <t>Koeln (zusaetzlich Berlin und Bremen)</t>
        </is>
      </c>
      <c r="F28" s="18" t="inlineStr">
        <is>
          <t>DE</t>
        </is>
      </c>
      <c r="G28" s="18" t="inlineStr">
        <is>
          <t>VC</t>
        </is>
      </c>
      <c r="H28" s="16" t="inlineStr">
        <is>
          <t>Pre-Seed, Seed, Series A inkl. Follow-ons</t>
        </is>
      </c>
      <c r="I28" s="15" t="inlineStr">
        <is>
          <t>Ja, fuehrt Fruehphasenrunden regelmaessig an</t>
        </is>
      </c>
      <c r="J28" s="16" t="inlineStr">
        <is>
          <t>typischerweise ca. 0,5 - 5 Mio. EUR Erstinvestment (Follow-ons reserviert)</t>
        </is>
      </c>
      <c r="K28" s="16" t="inlineStr">
        <is>
          <t>aktueller Fonds ca. 215 Mio. USD; Managementzulassung bis 500 Mio. EUR</t>
        </is>
      </c>
      <c r="L28" s="18" t="inlineStr">
        <is>
          <t>Ja</t>
        </is>
      </c>
      <c r="M28" s="16" t="inlineStr">
        <is>
          <t>Technologiegetriebene B2B-Unternehmen aus dem deutschsprachigen Raum mit globaler Ambition; 'We invest before teams turn into companies'</t>
        </is>
      </c>
      <c r="N28" s="16" t="inlineStr">
        <is>
          <t>QuantPi (Explainable AI und AI-Governance), Cedalo (Daten-/IoT-Messaging-Infrastruktur), Dexory (AI-gestuetzte Bestandserfassung), Black Semiconductor</t>
        </is>
      </c>
      <c r="O28" s="16" t="inlineStr">
        <is>
          <t>Kein direktes Labeling-Investment, aber mit QuantPi und Cedalo belegte Naehe zu AI-Qualitaet, Modellvalidierung und Dateninfrastruktur</t>
        </is>
      </c>
      <c r="P28" s="16" t="inlineStr">
        <is>
          <t>-</t>
        </is>
      </c>
      <c r="Q28" s="16" t="inlineStr">
        <is>
          <t>Joerg Binnenbruecker</t>
        </is>
      </c>
      <c r="R28" s="16" t="inlineStr">
        <is>
          <t>Founding / Managing Partner</t>
        </is>
      </c>
      <c r="S28" s="16" t="inlineStr">
        <is>
          <t>https://de.linkedin.com/in/joerg1</t>
        </is>
      </c>
      <c r="T28" s="16" t="inlineStr">
        <is>
          <t>Connect-Formular auf capnamic.com/connect</t>
        </is>
      </c>
      <c r="U28" s="16" t="inlineStr">
        <is>
          <t>Einer der aktivsten DACH-Fruehphasenleads fuer technisches B2B mit belegten AI-Investments wie QuantPi und passendem Ticket fuer Pre-Seed bis Series A.</t>
        </is>
      </c>
      <c r="V28" s="16" t="inlineStr">
        <is>
          <t>Breite B2B-These ohne dediziertes Data-Infrastruktur-Programm; hoher Dealflow bedeutet starken Wettbewerb um Aufmerksamkeit</t>
        </is>
      </c>
      <c r="W28" s="16" t="inlineStr">
        <is>
          <t>Ueber die QuantPi-Analogie einsteigen: PathWize liefert die Trainingsdatenqualitaet, ohne die AI-Governance und Modellvalidierung im europaeischen B2B-Markt nicht funktionieren.</t>
        </is>
      </c>
      <c r="X28" s="18" t="n">
        <v>30</v>
      </c>
      <c r="Y28" s="18" t="n">
        <v>25</v>
      </c>
      <c r="Z28" s="18" t="n">
        <v>15</v>
      </c>
      <c r="AA28" s="18" t="n">
        <v>9</v>
      </c>
      <c r="AB28" s="18" t="n">
        <v>10</v>
      </c>
      <c r="AC28" s="18" t="inlineStr">
        <is>
          <t>Hoch</t>
        </is>
      </c>
      <c r="AD28" s="15" t="inlineStr">
        <is>
          <t>Bestandsliste</t>
        </is>
      </c>
      <c r="AE28" s="16" t="inlineStr">
        <is>
          <t>https://capnamic.com/</t>
        </is>
      </c>
      <c r="AF28" s="16" t="inlineStr">
        <is>
          <t>https://capnamic.com/, https://capnamic.com/team, https://www.crunchbase.com/organization/capnamic-ventures, https://de.linkedin.com/in/joerg1</t>
        </is>
      </c>
    </row>
    <row r="29">
      <c r="A29" s="12" t="n">
        <v>25</v>
      </c>
      <c r="B29" s="14" t="inlineStr">
        <is>
          <t>Cherry Ventures</t>
        </is>
      </c>
      <c r="C29" s="13" t="inlineStr">
        <is>
          <t>A</t>
        </is>
      </c>
      <c r="D29" s="13" t="n">
        <v>89</v>
      </c>
      <c r="E29" s="15" t="inlineStr">
        <is>
          <t>Berlin (weitere Bueros London, Stockholm)</t>
        </is>
      </c>
      <c r="F29" s="15" t="inlineStr">
        <is>
          <t>Deutschland</t>
        </is>
      </c>
      <c r="G29" s="18" t="inlineStr">
        <is>
          <t>VC</t>
        </is>
      </c>
      <c r="H29" s="16" t="inlineStr">
        <is>
          <t>Pre-Seed &amp; Seed (Schwerpunkt), Folgeinvestments bis Series A</t>
        </is>
      </c>
      <c r="I29" s="15" t="inlineStr">
        <is>
          <t>Ja (haeufiger Lead bzw. Co-Lead)</t>
        </is>
      </c>
      <c r="J29" s="16" t="inlineStr">
        <is>
          <t>2 bis 7 Mio. EUR</t>
        </is>
      </c>
      <c r="K29" s="16" t="inlineStr">
        <is>
          <t>ca. 900 Mio. USD kumuliert; ca. 500 Mio. USD neu eingesammelt (Februar 2025, mehrere Vehikel)</t>
        </is>
      </c>
      <c r="L29" s="18" t="inlineStr">
        <is>
          <t>Ja</t>
        </is>
      </c>
      <c r="M29" s="16" t="inlineStr">
        <is>
          <t>Europaeischer Early-Stage-Generalist mit deutlichem Tilt zu AI-native Enterprise Software, Automation und Industrials; ca. 10-12 Deals pro Jahr, 279 Investments gesamt</t>
        </is>
      </c>
      <c r="N29" s="16" t="inlineStr">
        <is>
          <t>Dash0 (AI-native Observability, OpenTelemetry, Series A und B mit Cherry als Co-Lead, Unicorn 2026), Sphinx Labs, Manifold, Plato, Qualifyze, Tacto, Proxima Fusion; juengste Seeds durchgaengig AI-native</t>
        </is>
      </c>
      <c r="O29" s="16" t="inlineStr">
        <is>
          <t>Hoch - Dash0 belegt, dass Cherry Daten- und Infrastruktur-Layer fuer AI-Systeme aktiv finanziert und bis Series B durchhaelt</t>
        </is>
      </c>
      <c r="P29" s="16" t="inlineStr">
        <is>
          <t>-</t>
        </is>
      </c>
      <c r="Q29" s="16" t="inlineStr">
        <is>
          <t>Lutz Finger</t>
        </is>
      </c>
      <c r="R29" s="16" t="inlineStr">
        <is>
          <t>Venture Partner mit Data-/AI-Hintergrund (ex-LinkedIn, ex-Snap); fuer Data-Infra-Deals der naechstliegende Einstiegspunkt neben dem Berliner Investmentteam</t>
        </is>
      </c>
      <c r="S29" s="16" t="inlineStr">
        <is>
          <t>https://www.linkedin.com/in/lutzfinger</t>
        </is>
      </c>
      <c r="T29" s="16" t="inlineStr">
        <is>
          <t>Kontakt-/Pitchformular auf https://www.cherry.vc/</t>
        </is>
      </c>
      <c r="U29" s="16" t="inlineStr">
        <is>
          <t>Sehr aktiver Berliner Seed-Lead mit rund 900 Mio. USD AUM, 2-7-Mio.-Tickets und einer klar erkennbaren AI-native-Ausrichtung der juengsten Investments; Dash0 zeigt, dass Cherry Infrastruktur-Layer fuer AI bis in spaetere Runden begleitet. Geo und Stage sind ein perfekter Match.</t>
        </is>
      </c>
      <c r="V29" s="16" t="inlineStr">
        <is>
          <t>Formal Generalist ohne dedizierten Data-Infra-Partner in Europa; hohe Selektivitaet bei nur ca. 10-12 Deals pro Jahr; Servicelastige Data-Labeling-Modelle koennten am Skalierbarkeitsargument scheitern</t>
        </is>
      </c>
      <c r="W29" s="16" t="inlineStr">
        <is>
          <t>Als Infrastruktur-Play im Stil von Dash0 positionieren - kein Dienstleister, sondern die produktisierte Datenschicht unter europaeischen AI-Systemen - und ueber Lutz Finger als Data-/AI-Sparringspartner andocken.</t>
        </is>
      </c>
      <c r="X29" s="18" t="n">
        <v>28</v>
      </c>
      <c r="Y29" s="18" t="n">
        <v>25</v>
      </c>
      <c r="Z29" s="18" t="n">
        <v>16</v>
      </c>
      <c r="AA29" s="18" t="n">
        <v>10</v>
      </c>
      <c r="AB29" s="18" t="n">
        <v>10</v>
      </c>
      <c r="AC29" s="18" t="inlineStr">
        <is>
          <t>Hoch</t>
        </is>
      </c>
      <c r="AD29" s="15" t="inlineStr">
        <is>
          <t>Bestandsliste</t>
        </is>
      </c>
      <c r="AE29" s="16" t="inlineStr">
        <is>
          <t>https://www.cherry.vc/</t>
        </is>
      </c>
      <c r="AF29" s="16" t="inlineStr">
        <is>
          <t>https://www.cherry.vc/, https://www.cherry.vc/founder-companies/dash0, https://sifted.eu/articles/cherry-ventures-accel-35m-dash0, https://www.dash0.com/blog/dash0-raises-usd110m-series-b, https://tracxn.com/d/venture-capital/cherry-ventures/__7PbItYkdBhSPkptXDIny7EDe9suBzOwbA3oXlK7J_BU</t>
        </is>
      </c>
    </row>
    <row r="30">
      <c r="A30" s="12" t="n">
        <v>26</v>
      </c>
      <c r="B30" s="14" t="inlineStr">
        <is>
          <t>Connect Ventures</t>
        </is>
      </c>
      <c r="C30" s="13" t="inlineStr">
        <is>
          <t>A</t>
        </is>
      </c>
      <c r="D30" s="13" t="n">
        <v>89</v>
      </c>
      <c r="E30" s="15" t="inlineStr">
        <is>
          <t>London</t>
        </is>
      </c>
      <c r="F30" s="18" t="inlineStr">
        <is>
          <t>UK</t>
        </is>
      </c>
      <c r="G30" s="18" t="inlineStr">
        <is>
          <t>VC</t>
        </is>
      </c>
      <c r="H30" s="16" t="inlineStr">
        <is>
          <t>Pre-Seed, Seed</t>
        </is>
      </c>
      <c r="I30" s="15" t="inlineStr">
        <is>
          <t>Ja, fuehrt als Lead oder Co-Lead an</t>
        </is>
      </c>
      <c r="J30" s="16" t="inlineStr">
        <is>
          <t>ca. 0,5 - 5 Mio. USD</t>
        </is>
      </c>
      <c r="K30" s="16" t="inlineStr">
        <is>
          <t>Fonds IV aktiv (Groesse nicht oeffentlich ausgewiesen); pan-europaeischer Fruehphasenspezialist seit 2012</t>
        </is>
      </c>
      <c r="L30" s="18" t="inlineStr">
        <is>
          <t>Ja</t>
        </is>
      </c>
      <c r="M30" s="16" t="inlineStr">
        <is>
          <t>Thesengetriebener pan-europaeischer Pre-Seed-/Seed-Investor mit Produktfokus; explizite Kategorien AI, Data &amp; Infrastructure, Deep Tech, Cybersecurity, Fintech, Health, Vertical Networks</t>
        </is>
      </c>
      <c r="N30" s="16" t="inlineStr">
        <is>
          <t>Dust (AI-Agenten fuer Unternehmen), Nexcade (AI fuer Logistik), Plain, TrueLayer (Daten-/API-Infrastruktur), Upstream Labs</t>
        </is>
      </c>
      <c r="O30" s="16" t="inlineStr">
        <is>
          <t>Kein direktes Labeling-Investment belegt, aber 'Data &amp; Infrastructure' ist eine der offiziell ausgewiesenen Investmentkategorien</t>
        </is>
      </c>
      <c r="P30" s="16" t="inlineStr">
        <is>
          <t>-</t>
        </is>
      </c>
      <c r="Q30" s="16" t="inlineStr">
        <is>
          <t>Pietro Bezza</t>
        </is>
      </c>
      <c r="R30" s="16" t="inlineStr">
        <is>
          <t>Managing Partner</t>
        </is>
      </c>
      <c r="S30" s="16" t="inlineStr">
        <is>
          <t>n/a</t>
        </is>
      </c>
      <c r="T30" s="16" t="inlineStr">
        <is>
          <t>Kontakt-/Pitchformular auf connectventures.co</t>
        </is>
      </c>
      <c r="U30" s="16" t="inlineStr">
        <is>
          <t>Reiner Pre-Seed-/Seed-Lead mit 'Data &amp; Infrastructure' und AI als offiziell ausgewiesenen Kernkategorien und aktuellem Fonds IV samt frischen AI-Deals 2025/2026.</t>
        </is>
      </c>
      <c r="V30" s="16" t="inlineStr">
        <is>
          <t>Starker Product-Excellence-Filter (bevorzugt produktgetriebene Software statt serviceintensiver Modelle); London-zentriert, DACH ist kein Schwerpunktmarkt</t>
        </is>
      </c>
      <c r="W30" s="16" t="inlineStr">
        <is>
          <t>PathWize als produktgetriebene Annotation-Plattform mit hohem Automatisierungsgrad praesentieren, nicht als Labeling-Dienstleister, und direkt an die 'Data &amp; Infrastructure'-These andocken.</t>
        </is>
      </c>
      <c r="X30" s="18" t="n">
        <v>30</v>
      </c>
      <c r="Y30" s="18" t="n">
        <v>27</v>
      </c>
      <c r="Z30" s="18" t="n">
        <v>15</v>
      </c>
      <c r="AA30" s="18" t="n">
        <v>9</v>
      </c>
      <c r="AB30" s="18" t="n">
        <v>8</v>
      </c>
      <c r="AC30" s="18" t="inlineStr">
        <is>
          <t>Hoch</t>
        </is>
      </c>
      <c r="AD30" s="15" t="inlineStr">
        <is>
          <t>Bestandsliste</t>
        </is>
      </c>
      <c r="AE30" s="16" t="inlineStr">
        <is>
          <t>https://www.connectventures.co/</t>
        </is>
      </c>
      <c r="AF30" s="16" t="inlineStr">
        <is>
          <t>https://www.connectventures.co/, https://www.connectventures.co/opinions/announcing-connect-fund-iv-to-back-products-loved-by-many, https://www.connectventures.co/companies, https://tracxn.com/d/venture-capital/connectventures</t>
        </is>
      </c>
    </row>
    <row r="31">
      <c r="A31" s="12" t="n">
        <v>27</v>
      </c>
      <c r="B31" s="14" t="inlineStr">
        <is>
          <t>D11Z Ventures</t>
        </is>
      </c>
      <c r="C31" s="13" t="inlineStr">
        <is>
          <t>A</t>
        </is>
      </c>
      <c r="D31" s="13" t="n">
        <v>89</v>
      </c>
      <c r="E31" s="15" t="inlineStr">
        <is>
          <t>Heilbronn (weitere Standorte: München, Zürich)</t>
        </is>
      </c>
      <c r="F31" s="15" t="inlineStr">
        <is>
          <t>Deutschland</t>
        </is>
      </c>
      <c r="G31" s="15" t="inlineStr">
        <is>
          <t>Family Office / Evergreen-Fonds (Single Family Office, Umfeld Dieter-Schwarz-/ZFHN-Netzwerk)</t>
        </is>
      </c>
      <c r="H31" s="16" t="inlineStr">
        <is>
          <t>Pre-Seed und Seed, selektiv Series A und Folgerunden ('through scale')</t>
        </is>
      </c>
      <c r="I31" s="15" t="inlineStr">
        <is>
          <t>Teilweise - eher aktiver Co-Investor und Frühphasen-Ankerinvestor als klassischer Lead bei größeren Runden</t>
        </is>
      </c>
      <c r="J31" s="16" t="inlineStr">
        <is>
          <t>Pre-Seed bis ca. 125 Tsd. EUR, Seed bis ca. 750 Tsd. EUR, Series A bis ca. 2 Mio. EUR; Erstinvestments ca. 100 Tsd. bis 1,5 Mio. EUR</t>
        </is>
      </c>
      <c r="K31" s="16" t="inlineStr">
        <is>
          <t>Evergreen-Struktur ohne feste Fondsgröße; über 40 Portfoliounternehmen bzw. rund 100 Investments seit 2005 (konkretes AUM: n/a)</t>
        </is>
      </c>
      <c r="L31" s="18" t="inlineStr">
        <is>
          <t>Ja</t>
        </is>
      </c>
      <c r="M31" s="16" t="inlineStr">
        <is>
          <t>Explizit: AI Infrastructure, B2B SaaS, Physical AI sowie Cybersecurity und Resilienz. Software und Deep Tech, europaweit, langfristiger Evergreen-Horizont.</t>
        </is>
      </c>
      <c r="N31" s="16" t="inlineStr">
        <is>
          <t>StrategyBridgeAI, ConfidentialMinds (Confidential Computing für AI), Otark, doinstruct, Innkeepr; Verticals laut eigener Darstellung KI, SaaS, Robotik, Medical AI, autonomes Fahren</t>
        </is>
      </c>
      <c r="O31" s="16" t="inlineStr">
        <is>
          <t>Hoch: 'AI Infrastructure' ist eine der vier explizit benannten Kernverticals - Trainingsdaten-Infrastruktur fällt direkt darunter. Ein konkretes Labeling-/Annotation-Investment ist nicht belegt.</t>
        </is>
      </c>
      <c r="P31" s="16" t="inlineStr">
        <is>
          <t>-</t>
        </is>
      </c>
      <c r="Q31" s="16" t="inlineStr">
        <is>
          <t>Tom (Thomas) Villinger</t>
        </is>
      </c>
      <c r="R31" s="16" t="inlineStr">
        <is>
          <t>CEO / Managing Partner</t>
        </is>
      </c>
      <c r="S31" s="16" t="inlineStr">
        <is>
          <t>https://www.linkedin.com/in/tom-villinger-d11z/</t>
        </is>
      </c>
      <c r="T31" s="16" t="inlineStr">
        <is>
          <t>Pitch-Formular: https://d11z.com/pitch/</t>
        </is>
      </c>
      <c r="U31" s="16" t="inlineStr">
        <is>
          <t>D11Z nennt 'AI Infrastructure' und B2B SaaS als explizite Kernverticals und investiert genau in Pre-Seed/Seed in Europa - thematisch und phasenseitig einer der passendsten Adressaten der Batch. Die Evergreen-Struktur erlaubt langfristige Begleitung ohne Fondslaufzeit-Druck.</t>
        </is>
      </c>
      <c r="V31" s="16" t="inlineStr">
        <is>
          <t>Kleine Tickets (Seed bis ca. 750 Tsd. EUR) - reicht allein nicht für eine vollständige Seed-Runde, es braucht Co-Investoren. Als Family Office weniger Signalwirkung als ein Marken-VC.</t>
        </is>
      </c>
      <c r="W31" s="16" t="inlineStr">
        <is>
          <t>Direkt über das Pitch-Formular mit der Positionierung 'AI Infrastructure Layer' ansprechen: PathWize liefert die Trainingsdaten-Schicht, die die AI-Infra-These von D11Z komplettiert.</t>
        </is>
      </c>
      <c r="X31" s="18" t="n">
        <v>28</v>
      </c>
      <c r="Y31" s="18" t="n">
        <v>29</v>
      </c>
      <c r="Z31" s="18" t="n">
        <v>14</v>
      </c>
      <c r="AA31" s="18" t="n">
        <v>8</v>
      </c>
      <c r="AB31" s="18" t="n">
        <v>10</v>
      </c>
      <c r="AC31" s="18" t="inlineStr">
        <is>
          <t>Hoch</t>
        </is>
      </c>
      <c r="AD31" s="15" t="inlineStr">
        <is>
          <t>Bestandsliste</t>
        </is>
      </c>
      <c r="AE31" s="16" t="inlineStr">
        <is>
          <t>https://d11z.com/</t>
        </is>
      </c>
      <c r="AF31" s="16" t="inlineStr">
        <is>
          <t>https://d11z.com/, https://d11z.com/pitch/, https://d11z.com/team/, https://tracxn.com/d/venture-capital/d11zventures/__dTNEJJ1g_6zFDXB7iBLABfOtwOeMZea2If5JjvdgJQc, https://www.vc-magazin.de/blog/2024/03/11/interview-tom-villinger-d11z-ventures/, https://altss.com/profile/d11z-ventures-thomas-villinger-family-office</t>
        </is>
      </c>
    </row>
    <row r="32">
      <c r="A32" s="12" t="n">
        <v>28</v>
      </c>
      <c r="B32" s="14" t="inlineStr">
        <is>
          <t>La Famiglia</t>
        </is>
      </c>
      <c r="C32" s="13" t="inlineStr">
        <is>
          <t>A</t>
        </is>
      </c>
      <c r="D32" s="13" t="n">
        <v>89</v>
      </c>
      <c r="E32" s="15" t="inlineStr">
        <is>
          <t>Berlin / München</t>
        </is>
      </c>
      <c r="F32" s="15" t="inlineStr">
        <is>
          <t>Deutschland</t>
        </is>
      </c>
      <c r="G32" s="15" t="inlineStr">
        <is>
          <t>Early-Stage Venture Capital (fusioniert in globale VC-Plattform)</t>
        </is>
      </c>
      <c r="H32" s="16" t="inlineStr">
        <is>
          <t>Pre-Seed und Seed (europäisches Seed-Programm innerhalb von General Catalyst), Folgefinanzierungen bis Growth über GC</t>
        </is>
      </c>
      <c r="I32" s="18" t="inlineStr">
        <is>
          <t>Ja</t>
        </is>
      </c>
      <c r="J32" s="16" t="inlineStr">
        <is>
          <t>n/a (Seed-Tickets typ. 1-5 Mio. EUR, nicht offiziell publiziert)</t>
        </is>
      </c>
      <c r="K32" s="16" t="inlineStr">
        <is>
          <t>General Catalyst verwaltet mehrere Mrd. USD; La Famiglia brachte zwei Fonds ein, seit 2023 unter GC-Dach</t>
        </is>
      </c>
      <c r="L32" s="18" t="inlineStr">
        <is>
          <t>Ja</t>
        </is>
      </c>
      <c r="M32" s="16" t="inlineStr">
        <is>
          <t>Resilientes, wohlhabenderes Europa mit Technologie als Transformationstreiber; Schwerpunkte AI, Klima, industrielle Transformation, Defense und Enterprise Software; starkes Netzwerk in europäische Industrie-Familienunternehmen</t>
        </is>
      </c>
      <c r="N32" s="16" t="inlineStr">
        <is>
          <t>Mistral AI, Helsing, Personio, Deel, Forto, Legora, Applied Intuition, Groq (über GC-Plattform)</t>
        </is>
      </c>
      <c r="O32" s="16" t="inlineStr">
        <is>
          <t>Sehr hoch - Mistral AI und Helsing sind Kernportfolio und beide massive Abnehmer von hochwertigen, europäisch kontrollierten Trainings- und Evaluationsdaten; Jeannette zu Fürstenberg sitzt in beiden Boards</t>
        </is>
      </c>
      <c r="P32" s="16" t="inlineStr">
        <is>
          <t>-</t>
        </is>
      </c>
      <c r="Q32" s="16" t="inlineStr">
        <is>
          <t>Jeannette zu Fürstenberg</t>
        </is>
      </c>
      <c r="R32" s="16" t="inlineStr">
        <is>
          <t>President &amp; Managing Director General Catalyst (Europa), Gründungspartnerin La Famiglia, Board-Mitglied bei Mistral AI und Helsing</t>
        </is>
      </c>
      <c r="S32" s="16" t="inlineStr">
        <is>
          <t>n/a</t>
        </is>
      </c>
      <c r="T32" s="16" t="inlineStr">
        <is>
          <t>https://www.generalcatalyst.com/ (Kontakt über GC-Website; La-Famiglia-Kanäle bestehen teils fort)</t>
        </is>
      </c>
      <c r="U32" s="16" t="inlineStr">
        <is>
          <t>Als Seed-Arm von General Catalyst in Europa investiert das Team explizit in AI und industrielle Transformation und hat mit Mistral AI und Helsing zwei der größten europäischen Trainingsdaten-Abnehmer im Portfolio. Das La-Famiglia-Netzwerk in den deutschen Industriemittelstand ist zudem ein direkter Vertriebskanal für B2B-Labeling.</t>
        </is>
      </c>
      <c r="V32" s="16" t="inlineStr">
        <is>
          <t>La Famiglia existiert seit 2023 nicht mehr als eigenständige Marke - Ansprache muss über General Catalyst laufen; GC ist eine globale Plattform mit sehr hohem Dealflow und entsprechend geringer Antwortquote auf Cold Outreach; Seed-Entscheidungen konkurrieren mit US-Deals</t>
        </is>
      </c>
      <c r="W32" s="16" t="inlineStr">
        <is>
          <t>Über eine warme Einführung aus dem La-Famiglia-Industrienetzwerk an Jeannette zu Fürstenberg herantreten und PathWize als europäische Trainingsdaten-Schicht für Mistral- und Helsing-artige Souveränitäts-AI positionieren.</t>
        </is>
      </c>
      <c r="X32" s="18" t="n">
        <v>27</v>
      </c>
      <c r="Y32" s="18" t="n">
        <v>27</v>
      </c>
      <c r="Z32" s="18" t="n">
        <v>16</v>
      </c>
      <c r="AA32" s="18" t="n">
        <v>9</v>
      </c>
      <c r="AB32" s="18" t="n">
        <v>10</v>
      </c>
      <c r="AC32" s="15" t="inlineStr">
        <is>
          <t>Mittel</t>
        </is>
      </c>
      <c r="AD32" s="15" t="inlineStr">
        <is>
          <t>Bestandsliste</t>
        </is>
      </c>
      <c r="AE32" s="16" t="inlineStr">
        <is>
          <t>https://www.generalcatalyst.com/ (La Famiglia ist seit 2023 Teil von General Catalyst)</t>
        </is>
      </c>
      <c r="AF32" s="16" t="inlineStr">
        <is>
          <t>https://www.generalcatalyst.com/team/jeannette-zu-furstenberg, https://sifted.eu/articles/la-famiglia-general-catalyst, https://techcrunch.com/2023/10/16/general-catalyst-and-european-early-stage-fund-la-famiglia-join-forces-to-invest-in-european-startups/, https://www.generalcatalyst.com/stories/our-growing-family-gc-x-lf</t>
        </is>
      </c>
    </row>
    <row r="33">
      <c r="A33" s="12" t="n">
        <v>29</v>
      </c>
      <c r="B33" s="14" t="inlineStr">
        <is>
          <t>NAP (The Expert Founder Fund)</t>
        </is>
      </c>
      <c r="C33" s="13" t="inlineStr">
        <is>
          <t>A</t>
        </is>
      </c>
      <c r="D33" s="13" t="n">
        <v>89</v>
      </c>
      <c r="E33" s="15" t="inlineStr">
        <is>
          <t>Berlin</t>
        </is>
      </c>
      <c r="F33" s="15" t="inlineStr">
        <is>
          <t>Deutschland</t>
        </is>
      </c>
      <c r="G33" s="18" t="inlineStr">
        <is>
          <t>VC</t>
        </is>
      </c>
      <c r="H33" s="16" t="inlineStr">
        <is>
          <t>Pre-Seed und Seed</t>
        </is>
      </c>
      <c r="I33" s="15" t="inlineStr">
        <is>
          <t>Ja — Initial-Checks von 1-4 Mio. EUR implizieren regelmäßige Lead-Position im Pre-Seed/Seed</t>
        </is>
      </c>
      <c r="J33" s="16" t="inlineStr">
        <is>
          <t>1 - 4 Mio. EUR Erstinvestment</t>
        </is>
      </c>
      <c r="K33" s="16" t="inlineStr">
        <is>
          <t>n/a (Fondsvolumen nicht öffentlich ausgewiesen)</t>
        </is>
      </c>
      <c r="L33" s="18" t="inlineStr">
        <is>
          <t>Ja</t>
        </is>
      </c>
      <c r="M33" s="16" t="inlineStr">
        <is>
          <t>Backt 'Expert Founders' mit tiefer technischer Expertise, die harte Enterprise-Probleme an der Schnittstelle von physischen Industrien, digitalen Systemen, Financial Services und Energie lösen; Deutschland/Europa-Fokus</t>
        </is>
      </c>
      <c r="N33" s="16" t="inlineStr">
        <is>
          <t>Aleph Alpha (europäische AI-/Intelligenz-Infrastruktur, Foundation Models — direkt relevanter Trainingsdaten-Abnehmer), Usercentrics (Privacy-/Consent-Infrastruktur auf 2,3 Mio. Websites), PlanRadar (Bau-Digitalisierung in 75+ Ländern)</t>
        </is>
      </c>
      <c r="O33" s="16" t="inlineStr">
        <is>
          <t>Hoch — mit Aleph Alpha hat NAP das prominenteste deutsche Foundation-Model-Investment; die These 'Europa soll seine Intelligenz nicht bei fremden Clouds mieten' übersetzt sich direkt auf souveräne europäische Trainingsdaten-Infrastruktur</t>
        </is>
      </c>
      <c r="P33" s="16" t="inlineStr">
        <is>
          <t>Data-Infra-nah</t>
        </is>
      </c>
      <c r="Q33" s="16" t="inlineStr">
        <is>
          <t>Stefan Walter</t>
        </is>
      </c>
      <c r="R33" s="16" t="inlineStr">
        <is>
          <t>Managing Partner (weitere Partner: Claude Ritter, Francesco Sieben; Netzwerk u.a. Dominik Matyka, Marcel Hollerbach, Markus Fuhrmann, Rouven Dresselhaus)</t>
        </is>
      </c>
      <c r="S33" s="16" t="inlineStr">
        <is>
          <t>n/a</t>
        </is>
      </c>
      <c r="T33" s="16" t="inlineStr">
        <is>
          <t>Kontakt über nap.vc (kein öffentliches Pitch-Formular verifiziert); Zugang bevorzugt über Warm Intro aus dem Expert-Founder-Netzwerk</t>
        </is>
      </c>
      <c r="U33" s="16" t="inlineStr">
        <is>
          <t>Exakter Stage-Match (Pre-Seed/Seed, 1-4 Mio. EUR Lead-Tickets) kombiniert mit einer 'technische Gründer lösen harte Enterprise-Probleme'-These und dem Aleph-Alpha-Investment als hartem Beleg für AI-Infrastruktur-Überzeugung. Deutschland/Europa ist explizit der Kernmarkt.</t>
        </is>
      </c>
      <c r="V33" s="16" t="inlineStr">
        <is>
          <t>Fondsvolumen nicht öffentlich; die Sektorbeschreibung nennt physische Industrien, Financial Services und Energie als Anker — horizontale Data-Infrastruktur muss aktiv eingeordnet werden; kein offenes Pitch-Formular auffindbar, Zugang läuft über Netzwerk</t>
        </is>
      </c>
      <c r="W33" s="16" t="inlineStr">
        <is>
          <t>Direkt an der Aleph-Alpha-These andocken: PathWize liefert die souveräne europäische Trainingsdaten-Schicht, ohne die europäische Foundation Models weiterhin von US-Labeling-Anbietern abhängig bleiben.</t>
        </is>
      </c>
      <c r="X33" s="18" t="n">
        <v>30</v>
      </c>
      <c r="Y33" s="18" t="n">
        <v>24</v>
      </c>
      <c r="Z33" s="18" t="n">
        <v>16</v>
      </c>
      <c r="AA33" s="18" t="n">
        <v>9</v>
      </c>
      <c r="AB33" s="18" t="n">
        <v>10</v>
      </c>
      <c r="AC33" s="15" t="inlineStr">
        <is>
          <t>Mittel</t>
        </is>
      </c>
      <c r="AD33" s="15" t="inlineStr">
        <is>
          <t>Bestandsliste</t>
        </is>
      </c>
      <c r="AE33" s="16" t="inlineStr">
        <is>
          <t>https://nap.vc/</t>
        </is>
      </c>
      <c r="AF33" s="16" t="inlineStr">
        <is>
          <t>https://nap.vc/, https://vcwire.tech/2025/04/08/nap-interview-with-managing-partner-stefan-walter/, https://www.crunchbase.com/organization/nap-vc, https://www.vcsheet.com/fund/nap</t>
        </is>
      </c>
    </row>
    <row r="34">
      <c r="A34" s="12" t="n">
        <v>30</v>
      </c>
      <c r="B34" s="14" t="inlineStr">
        <is>
          <t>Senovo</t>
        </is>
      </c>
      <c r="C34" s="13" t="inlineStr">
        <is>
          <t>A</t>
        </is>
      </c>
      <c r="D34" s="13" t="n">
        <v>89</v>
      </c>
      <c r="E34" s="15" t="inlineStr">
        <is>
          <t>Muenchen und Berlin</t>
        </is>
      </c>
      <c r="F34" s="18" t="inlineStr">
        <is>
          <t>DE</t>
        </is>
      </c>
      <c r="G34" s="18" t="inlineStr">
        <is>
          <t>VC</t>
        </is>
      </c>
      <c r="H34" s="16" t="inlineStr">
        <is>
          <t>Late Seed und Series A (nach Product-Market-Fit mit ersten Umsaetzen)</t>
        </is>
      </c>
      <c r="I34" s="15" t="inlineStr">
        <is>
          <t>Ja (typischer Lead in Seed-/Series-A-Runden)</t>
        </is>
      </c>
      <c r="J34" s="16" t="inlineStr">
        <is>
          <t>EUR 1 bis 5 Mio. Erstinvestment</t>
        </is>
      </c>
      <c r="K34" s="16" t="inlineStr">
        <is>
          <t>Fonds IV: First Closing mit EUR 80 Mio. (Maerz 2025); seit 2013 aktiv, 40+ Erstinvestments, 13 Exits, 3 Unicorns</t>
        </is>
      </c>
      <c r="L34" s="18" t="inlineStr">
        <is>
          <t>Ja</t>
        </is>
      </c>
      <c r="M34" s="16" t="inlineStr">
        <is>
          <t>Europaeische B2B-Software: Cybersecurity, Industrial Tech, Open Source, Infrastruktur, SaaS und Deep Tech; erklaerte Praeferenz fuer AI-first-Produkte, die die Digitalisierung mittlerer und grosser Unternehmen ermoeglichen</t>
        </is>
      </c>
      <c r="N34" s="16" t="inlineStr">
        <is>
          <t>Fokus auf B2B-Software mit Infrastruktur- und Open-Source-Anteil (67 Investments gesamt); explizite Priorisierung AI-first-Produkte laut eigener Website</t>
        </is>
      </c>
      <c r="O34" s="16" t="inlineStr">
        <is>
          <t>Hoch: Die Kombination aus Infrastruktur-, Open-Source- und AI-first-These deckt Trainingsdaten-Infrastruktur strukturell ab</t>
        </is>
      </c>
      <c r="P34" s="16" t="inlineStr">
        <is>
          <t>-</t>
        </is>
      </c>
      <c r="Q34" s="16" t="inlineStr">
        <is>
          <t>Dr. Alexander Buchberger</t>
        </is>
      </c>
      <c r="R34" s="16" t="inlineStr">
        <is>
          <t>Partner (weitere Partner: Frederick Mallinckrodt, Markus Grundmann, Mona Gindler)</t>
        </is>
      </c>
      <c r="S34" s="16" t="inlineStr">
        <is>
          <t>n/a (Firmenprofil: https://www.linkedin.com/company/senovovc/)</t>
        </is>
      </c>
      <c r="T34" s="16" t="inlineStr">
        <is>
          <t>alex@senovo.vc, frederick@senovo.vc, markus@senovo.vc, mona@senovo.vc (Senovo bittet ausdruecklich um direkte Pitch-Deck-Zusendung an das Team)</t>
        </is>
      </c>
      <c r="U34" s="16" t="inlineStr">
        <is>
          <t>Reinrassiger europaeischer B2B-Software-Fonds mit erklaertem AI-first- und Infrastruktur-Fokus, frischem Fonds IV (EUR 80 Mio.) und Tickets von EUR 1 bis 5 Mio. - ideal fuer PathWize ab Late Seed / Series A.</t>
        </is>
      </c>
      <c r="V34" s="16" t="inlineStr">
        <is>
          <t>Investiert erst nach Product-Market-Fit mit belegbaren Umsaetzen (Richtwert historisch ab ca. EUR 30k MRR) - fuer eine reine Pre-Seed-Runde zu spaet; kein Pre-Seed</t>
        </is>
      </c>
      <c r="W34" s="16" t="inlineStr">
        <is>
          <t>Mit harten SaaS-Metriken einsteigen (MRR, Net Revenue Retention, Bruttomarge pro Labeling-Projekt) und PathWize als AI-first-Infrastrukturlayer fuer die Enterprise-Digitalisierung positionieren, die Senovo explizit sucht.</t>
        </is>
      </c>
      <c r="X34" s="18" t="n">
        <v>27</v>
      </c>
      <c r="Y34" s="18" t="n">
        <v>28</v>
      </c>
      <c r="Z34" s="18" t="n">
        <v>15</v>
      </c>
      <c r="AA34" s="18" t="n">
        <v>9</v>
      </c>
      <c r="AB34" s="18" t="n">
        <v>10</v>
      </c>
      <c r="AC34" s="18" t="inlineStr">
        <is>
          <t>Hoch</t>
        </is>
      </c>
      <c r="AD34" s="15" t="inlineStr">
        <is>
          <t>NEU – Recherche-Ergaenzung</t>
        </is>
      </c>
      <c r="AE34" s="16" t="inlineStr">
        <is>
          <t>https://senovo.vc/</t>
        </is>
      </c>
      <c r="AF34" s="16" t="inlineStr">
        <is>
          <t>https://senovo.vc/, https://www.crunchbase.com/organization/senovo, https://insights.munich-startup.de/investors/senovo_gmbh, https://www.linkedin.com/company/senovovc/</t>
        </is>
      </c>
    </row>
    <row r="35">
      <c r="A35" s="12" t="n">
        <v>31</v>
      </c>
      <c r="B35" s="14" t="inlineStr">
        <is>
          <t>Serena (Serena Data Ventures II)</t>
        </is>
      </c>
      <c r="C35" s="13" t="inlineStr">
        <is>
          <t>A</t>
        </is>
      </c>
      <c r="D35" s="13" t="n">
        <v>89</v>
      </c>
      <c r="E35" s="18" t="inlineStr">
        <is>
          <t>Paris</t>
        </is>
      </c>
      <c r="F35" s="18" t="inlineStr">
        <is>
          <t>FR</t>
        </is>
      </c>
      <c r="G35" s="15" t="inlineStr">
        <is>
          <t>VC (Multi-Fonds-Plattform mit dediziertem Data/AI-Fonds)</t>
        </is>
      </c>
      <c r="H35" s="16" t="inlineStr">
        <is>
          <t>Serena Data Ventures II: Early Stage / Seed bis Series B; Plattform insgesamt Pre-Seed bis Series A</t>
        </is>
      </c>
      <c r="I35" s="15" t="inlineStr">
        <is>
          <t>Ja - fuehrt Early-Stage-Runden an</t>
        </is>
      </c>
      <c r="J35" s="16" t="inlineStr">
        <is>
          <t>0,5-3,5 Mio. EUR (Serena Data Ventures II); Plattform insgesamt 0,1-15 Mio. EUR Erstinvestment</t>
        </is>
      </c>
      <c r="K35" s="16" t="inlineStr">
        <is>
          <t>100 Mio. EUR (Serena Data Ventures II, 2024); Serena IV 200 Mio. EUR (Applied AI &amp; Energy); ca. 1 Mrd. EUR Gesamtprogramm</t>
        </is>
      </c>
      <c r="L35" s="18" t="inlineStr">
        <is>
          <t>Ja</t>
        </is>
      </c>
      <c r="M35" s="16" t="inlineStr">
        <is>
          <t>Die fundamentalen, 'unsichtbaren' Layer: Architektur des Modern Data Stack fuer AI, bessere Automatisierung von Datenmanagement, -analyse und -governance; dazu Blockchain-Tooling und Quantum. Serena IV zusaetzlich Applied AI.</t>
        </is>
      </c>
      <c r="N35" s="16" t="inlineStr">
        <is>
          <t>Dataiku (Enterprise-AI-Plattform), Mindee (Document-AI), Koyeb (Serverless-Infra), Odaseva (Data Governance), Quandela (Quantum)</t>
        </is>
      </c>
      <c r="O35" s="16" t="inlineStr">
        <is>
          <t>Hoch - dedizierter Data/AI-Fonds mit expliziter Modern-Data-Stack-These; Dataiku-Historie zeigt Verstaendnis fuer ML-Datenpipelines, aber kein reines Labeling-Investment belegt</t>
        </is>
      </c>
      <c r="P35" s="16" t="inlineStr">
        <is>
          <t>-</t>
        </is>
      </c>
      <c r="Q35" s="16" t="inlineStr">
        <is>
          <t>Bertrand Diard</t>
        </is>
      </c>
      <c r="R35" s="16" t="inlineStr">
        <is>
          <t>Investment Partner, Mitgruender von Talend, initiierte Serena Data Ventures 2017</t>
        </is>
      </c>
      <c r="S35" s="16" t="inlineStr">
        <is>
          <t>n/a</t>
        </is>
      </c>
      <c r="T35" s="16" t="inlineStr">
        <is>
          <t>Kontaktformular auf serena.vc; Buero 21 rue Auber, 75009 Paris, +33 1 77 37 30 30</t>
        </is>
      </c>
      <c r="U35" s="16" t="inlineStr">
        <is>
          <t>Einer der wenigen europaeischen Fonds mit einem dedizierten 100-Mio.-EUR-Data/AI-Vehikel und einer expliziten These auf den Datenlayer unterhalb der AI-Anwendungen - genau die Ebene, auf der PathWize sitzt.</t>
        </is>
      </c>
      <c r="V35" s="16" t="inlineStr">
        <is>
          <t>Starker Frankreich-Bias im Portfolio, DACH-Traktion begrenzt; Ticketband beginnt erst bei 0,5 Mio. EUR, reines Pre-Seed eher untypisch fuer SDV II.</t>
        </is>
      </c>
      <c r="W35" s="16" t="inlineStr">
        <is>
          <t>PathWize als den fehlenden Human-in-the-loop-Baustein im Modern Data Stack positionieren, den Serena seit Talend/Dataiku systematisch bespielt.</t>
        </is>
      </c>
      <c r="X35" s="18" t="n">
        <v>26</v>
      </c>
      <c r="Y35" s="18" t="n">
        <v>30</v>
      </c>
      <c r="Z35" s="18" t="n">
        <v>16</v>
      </c>
      <c r="AA35" s="18" t="n">
        <v>9</v>
      </c>
      <c r="AB35" s="18" t="n">
        <v>8</v>
      </c>
      <c r="AC35" s="18" t="inlineStr">
        <is>
          <t>Hoch</t>
        </is>
      </c>
      <c r="AD35" s="15" t="inlineStr">
        <is>
          <t>Bestandsliste</t>
        </is>
      </c>
      <c r="AE35" s="16" t="inlineStr">
        <is>
          <t>https://www.serena.vc/</t>
        </is>
      </c>
      <c r="AF35" s="16" t="inlineStr">
        <is>
          <t>https://www.serena.vc/, https://sifted.eu/articles/french-vc-serena-raises-100m-fund, https://websummit.com/wp-media/2024/10/Serena-launches-Serena-Data-Ventures-II-its-new-100-million-euro-fund-dedicated-to-the-foundations-of-future-technological-revolutions.pdf, https://www.serena.vc/team-profile/bertrand-diard/</t>
        </is>
      </c>
    </row>
    <row r="36">
      <c r="A36" s="12" t="n">
        <v>32</v>
      </c>
      <c r="B36" s="14" t="inlineStr">
        <is>
          <t>BlueYard Capital</t>
        </is>
      </c>
      <c r="C36" s="13" t="inlineStr">
        <is>
          <t>A</t>
        </is>
      </c>
      <c r="D36" s="13" t="n">
        <v>88</v>
      </c>
      <c r="E36" s="15" t="inlineStr">
        <is>
          <t>Berlin (zusaetzlich US-Praesenz)</t>
        </is>
      </c>
      <c r="F36" s="18" t="inlineStr">
        <is>
          <t>DE</t>
        </is>
      </c>
      <c r="G36" s="18" t="inlineStr">
        <is>
          <t>VC</t>
        </is>
      </c>
      <c r="H36" s="16" t="inlineStr">
        <is>
          <t>Pre-Seed, Seed, Series A</t>
        </is>
      </c>
      <c r="I36" s="15" t="inlineStr">
        <is>
          <t>Ja (Lead oder Co-Lead)</t>
        </is>
      </c>
      <c r="J36" s="16" t="inlineStr">
        <is>
          <t>ca. 0,5 - 5 Mio. USD Erstinvestment</t>
        </is>
      </c>
      <c r="K36" s="16" t="inlineStr">
        <is>
          <t>ca. 500 Mio. USD AUM ueber drei Fonds; Debuetfonds 111 Mio. EUR</t>
        </is>
      </c>
      <c r="L36" s="18" t="inlineStr">
        <is>
          <t>Ja</t>
        </is>
      </c>
      <c r="M36" s="16" t="inlineStr">
        <is>
          <t>Deep Tech und Frontier Tech: Computation/AI, Decentralized Compute, Defense, Biologie, Crypto; explizite These 'liberate data' und Dezentralisierung von Maerkten</t>
        </is>
      </c>
      <c r="N36" s="16" t="inlineStr">
        <is>
          <t>Groq (AI-Inferenz-Chips), IonQ, Protocol Labs/Filecoin (dezentrale Datenspeicher-Infrastruktur), Ink &amp; Switch, Foresight Data Machines, ManexAI, Grid</t>
        </is>
      </c>
      <c r="O36" s="16" t="inlineStr">
        <is>
          <t>Kein direktes Labeling-/Annotation-Investment belegt, aber starker AI-Compute- und Daten-Infrastruktur-Schwerpunkt, in den Trainingsdaten-Infrastruktur thematisch passt</t>
        </is>
      </c>
      <c r="P36" s="16" t="inlineStr">
        <is>
          <t>-</t>
        </is>
      </c>
      <c r="Q36" s="16" t="inlineStr">
        <is>
          <t>Ciaran O'Leary</t>
        </is>
      </c>
      <c r="R36" s="16" t="inlineStr">
        <is>
          <t>Co-Founder / General Partner</t>
        </is>
      </c>
      <c r="S36" s="16" t="inlineStr">
        <is>
          <t>n/a</t>
        </is>
      </c>
      <c r="T36" s="16" t="inlineStr">
        <is>
          <t>Kontakt ueber blueyard.com; keine oeffentliche Pitch-Mail ausgewiesen, Zugang typischerweise ueber Warm Intro</t>
        </is>
      </c>
      <c r="U36" s="16" t="inlineStr">
        <is>
          <t>Berliner Pre-Seed/Seed-Lead mit ausgewiesener AI- und Daten-Infrastruktur-These (Groq, Filecoin) und passender Ticketgroesse fuer PathWize' Pre-Seed/Seed.</t>
        </is>
      </c>
      <c r="V36" s="16" t="inlineStr">
        <is>
          <t>Sehr thesengetrieben und frontier-lastig (Crypto, Defense, Quantum); klassische Human-in-the-loop-Service-Modelle koennten als zu wenig 'technologisch radikal' gelten</t>
        </is>
      </c>
      <c r="W36" s="16" t="inlineStr">
        <is>
          <t>PathWize als Infrastrukturschicht positionieren, die Trainingsdaten aus proprietaeren Unternehmensdatenquellen 'befreit' und damit direkt an BlueYards 'liberate data'-These andockt.</t>
        </is>
      </c>
      <c r="X36" s="18" t="n">
        <v>30</v>
      </c>
      <c r="Y36" s="18" t="n">
        <v>24</v>
      </c>
      <c r="Z36" s="18" t="n">
        <v>15</v>
      </c>
      <c r="AA36" s="18" t="n">
        <v>9</v>
      </c>
      <c r="AB36" s="18" t="n">
        <v>10</v>
      </c>
      <c r="AC36" s="15" t="inlineStr">
        <is>
          <t>Mittel</t>
        </is>
      </c>
      <c r="AD36" s="15" t="inlineStr">
        <is>
          <t>Bestandsliste</t>
        </is>
      </c>
      <c r="AE36" s="16" t="inlineStr">
        <is>
          <t>https://blueyard.com/</t>
        </is>
      </c>
      <c r="AF36" s="16" t="inlineStr">
        <is>
          <t>https://blueyard.com/, https://www.crunchbase.com/hub/blueyard-capital-portfolio-companies, https://www.newcomer.co/p/exclusive-blueyard-capital-returns, https://pitchbook.com/profiles/investor/150612-58</t>
        </is>
      </c>
    </row>
    <row r="37">
      <c r="A37" s="12" t="n">
        <v>33</v>
      </c>
      <c r="B37" s="14" t="inlineStr">
        <is>
          <t>Cusp Capital</t>
        </is>
      </c>
      <c r="C37" s="13" t="inlineStr">
        <is>
          <t>A</t>
        </is>
      </c>
      <c r="D37" s="13" t="n">
        <v>88</v>
      </c>
      <c r="E37" s="15" t="inlineStr">
        <is>
          <t>Essen (weitere Standorte: Berlin, München)</t>
        </is>
      </c>
      <c r="F37" s="15" t="inlineStr">
        <is>
          <t>Deutschland</t>
        </is>
      </c>
      <c r="G37" s="18" t="inlineStr">
        <is>
          <t>VC</t>
        </is>
      </c>
      <c r="H37" s="16" t="inlineStr">
        <is>
          <t>Seed und Series A (Early Stage), Follow-ons bis Wachstumsphase</t>
        </is>
      </c>
      <c r="I37" s="15" t="inlineStr">
        <is>
          <t>Ja - führte u.a. die 17 Mio. USD Seed-Runde von Immerok an</t>
        </is>
      </c>
      <c r="J37" s="16" t="inlineStr">
        <is>
          <t>Erstinvestments im einstelligen Millionenbereich, Follow-on-Reserven bis ca. 35 Mio. EUR (offizielle Angabe auf der Website: n/a)</t>
        </is>
      </c>
      <c r="K37" s="16" t="inlineStr">
        <is>
          <t>ca. 361 Mio. EUR verwaltetes Kapital (Drittquelle PitchBook/Superscout)</t>
        </is>
      </c>
      <c r="L37" s="15" t="inlineStr">
        <is>
          <t>Teilweise</t>
        </is>
      </c>
      <c r="M37" s="16" t="inlineStr">
        <is>
          <t>Vier Kernthesen: branchenspezifische Software für den Mittelstand, Digitalisierung und ESG, digitale Produkte für einkommensschwächere Konsumenten sowie 'europäische Innovationen prägen die digitale Infrastruktur der Zukunft'. Software und Technologie, keine Hardware, Fokus Kontinentaleuropa.</t>
        </is>
      </c>
      <c r="N37" s="16" t="inlineStr">
        <is>
          <t>Immerok (Apache-Flink-Streaming-Plattform, Data-Infrastruktur, Lead-Investor, Exit an Confluent), Akeno (KI-basierte Produktionsplanung), OneWare (KI-Modell-Konfiguration), 2501, Fixably, Acto</t>
        </is>
      </c>
      <c r="O37" s="16" t="inlineStr">
        <is>
          <t>Hoch im weiteren Sinne: Immerok als Data-Infrastruktur-Lead-Investment belegt Verständnis für Daten-Pipelines und Open-Source-Datenstacks; direkte Labeling-/Annotation-Investments sind nicht belegt.</t>
        </is>
      </c>
      <c r="P37" s="16" t="inlineStr">
        <is>
          <t>Data-Infra-nah</t>
        </is>
      </c>
      <c r="Q37" s="16" t="inlineStr">
        <is>
          <t>Jan Sessenhausen</t>
        </is>
      </c>
      <c r="R37" s="16" t="inlineStr">
        <is>
          <t>General Partner, Fokus Enterprise Software, Daten-Technologien, Cloud und Open Source</t>
        </is>
      </c>
      <c r="S37" s="16" t="inlineStr">
        <is>
          <t>n/a</t>
        </is>
      </c>
      <c r="T37" s="16" t="inlineStr">
        <is>
          <t>Kontaktformular 'Get in touch' auf https://www.cuspcapital.com/ ; direkte E-Mail-Adresse nicht öffentlich</t>
        </is>
      </c>
      <c r="U37" s="16" t="inlineStr">
        <is>
          <t>Cusp Capital investiert genau in der Zielphase (Seed/Series A) in europäische Enterprise-Software und hat mit dem Lead-Investment in Immerok (Apache Flink) einen belegten Track Record in Data-Infrastruktur. Jan Sessenhausen deckt Enterprise Software, Daten-Technologien und Open Source als Kernkompetenz ab.</t>
        </is>
      </c>
      <c r="V37" s="16" t="inlineStr">
        <is>
          <t>Keine explizite AI-first-These; ESG- und Mittelstands-Software-Thesen dominieren die öffentliche Kommunikation. Ticketgrößen für Pre-Seed vermutlich zu groß.</t>
        </is>
      </c>
      <c r="W37" s="16" t="inlineStr">
        <is>
          <t>PathWize als deutsche Antwort auf die europäische Datensouveränitäts-These positionieren - Trainingsdaten-Infrastruktur made in Europe, direkt anschlussfähig an das Immerok-Investment und Sessenhausens Data-/Open-Source-Fokus.</t>
        </is>
      </c>
      <c r="X37" s="18" t="n">
        <v>27</v>
      </c>
      <c r="Y37" s="18" t="n">
        <v>26</v>
      </c>
      <c r="Z37" s="18" t="n">
        <v>17</v>
      </c>
      <c r="AA37" s="18" t="n">
        <v>8</v>
      </c>
      <c r="AB37" s="18" t="n">
        <v>10</v>
      </c>
      <c r="AC37" s="15" t="inlineStr">
        <is>
          <t>Mittel</t>
        </is>
      </c>
      <c r="AD37" s="15" t="inlineStr">
        <is>
          <t>Bestandsliste</t>
        </is>
      </c>
      <c r="AE37" s="16" t="inlineStr">
        <is>
          <t>https://www.cuspcapital.com/</t>
        </is>
      </c>
      <c r="AF37" s="16" t="inlineStr">
        <is>
          <t>https://www.cuspcapital.com/, https://superscout.co/investor/cusp-capital, https://www.crunchbase.com/organization/cusp-capital, https://martechseries.com/analytics/apache-flink-startup-immerok-announces-17m-in-seed-funding/, https://www.openvc.app/fund/Cusp%20Capital</t>
        </is>
      </c>
    </row>
    <row r="38">
      <c r="A38" s="12" t="n">
        <v>34</v>
      </c>
      <c r="B38" s="14" t="inlineStr">
        <is>
          <t>Index Ventures</t>
        </is>
      </c>
      <c r="C38" s="13" t="inlineStr">
        <is>
          <t>A</t>
        </is>
      </c>
      <c r="D38" s="13" t="n">
        <v>88</v>
      </c>
      <c r="E38" s="15" t="inlineStr">
        <is>
          <t>London (weitere Büros: San Francisco, New York)</t>
        </is>
      </c>
      <c r="F38" s="15" t="inlineStr">
        <is>
          <t>Vereinigtes Königreich</t>
        </is>
      </c>
      <c r="G38" s="15" t="inlineStr">
        <is>
          <t>VC (Multi-Stage, Venture- und Growth-Fonds)</t>
        </is>
      </c>
      <c r="H38" s="16" t="inlineStr">
        <is>
          <t>Seed bis Growth; dedizierte Venture-Fonds für Seed und Series A</t>
        </is>
      </c>
      <c r="I38" s="15" t="inlineStr">
        <is>
          <t>Ja - regelmäßig Lead über alle Phasen</t>
        </is>
      </c>
      <c r="J38" s="16" t="inlineStr">
        <is>
          <t>n/a (Seed ab niedrigem einstelligen Mio.-Bereich bis zu großen Growth-Tickets)</t>
        </is>
      </c>
      <c r="K38" s="16" t="inlineStr">
        <is>
          <t>n/a (Mehrere Milliarden USD über kombinierte Venture- und Growth-Fonds; exakte aktuelle Fondsgröße nicht verifiziert)</t>
        </is>
      </c>
      <c r="L38" s="18" t="inlineStr">
        <is>
          <t>Ja</t>
        </is>
      </c>
      <c r="M38" s="16" t="inlineStr">
        <is>
          <t>Breite Technologiethese mit sehr starkem AI-Schwerpunkt: Foundation Models, AI-Infrastruktur und Inferenz, Developer Tools, Data/Observability, Security, FinTech, Marktplätze.</t>
        </is>
      </c>
      <c r="N38" s="16" t="inlineStr">
        <is>
          <t>Anthropic, Fireworks AI (Inferenz-Infrastruktur), Datadog (Observability/Daten), Wiz, Figma (Website-belegt). Zusätzlich gilt Index als Investor in Scale AI (Data-Labeling-Marktführer) und Cohere sowie in Humanloop und Weaviate - in dieser Recherche nicht über die Website verifiziert.</t>
        </is>
      </c>
      <c r="O38" s="16" t="inlineStr">
        <is>
          <t>Sehr hoch. Index hat mit Scale AI die Kategorie selbst mitfinanziert und versteht das Geschäftsmodell inklusive Marge-, Skalierungs- und Automatisierungslogik von Data Labeling besser als fast jeder europäische Fonds.</t>
        </is>
      </c>
      <c r="P38" s="16" t="inlineStr">
        <is>
          <t>DIREKT: Scale Ai – Wettbewerbskonflikt pruefen</t>
        </is>
      </c>
      <c r="Q38" s="16" t="inlineStr">
        <is>
          <t>Danny Rimer</t>
        </is>
      </c>
      <c r="R38" s="16" t="inlineStr">
        <is>
          <t>Partner (London; Website-belegt als aktiver Partner)</t>
        </is>
      </c>
      <c r="S38" s="16" t="inlineStr">
        <is>
          <t>n/a</t>
        </is>
      </c>
      <c r="T38" s="16" t="inlineStr">
        <is>
          <t>Über Kontaktformular auf https://www.indexventures.com/</t>
        </is>
      </c>
      <c r="U38" s="16" t="inlineStr">
        <is>
          <t>Bester inhaltlicher Fit der gesamten Erweiterungsliste: Index investiert von Seed bis Growth, hat den Data-Labeling-Markt über Scale AI selbst mitgeprägt und besitzt ein umfangreiches AI-Infrastruktur-Portfolio. Londoner Basis mit europaweiter Abdeckung inklusive DACH.</t>
        </is>
      </c>
      <c r="V38" s="16" t="inlineStr">
        <is>
          <t>Sehr hohe Selektivität und starker Wettbewerb um Zugang; ohne warme Einführung schwer erreichbar. Möglicher Interessenkonflikt bzw. Portfolio-Konflikt mit bestehenden Data-/AI-Beteiligungen. Kein DACH-Büro, Schwerpunkt zunehmend USA.</t>
        </is>
      </c>
      <c r="W38" s="16" t="inlineStr">
        <is>
          <t>Warme Einführung über einen Index-Gründer oder ein Portfoliounternehmen suchen. Narrativ: 'Was Scale AI für die USA ist, fehlt Europa unter EU-Datenschutz- und Souveränitätsanforderungen' - PathWize als europäische, DSGVO-konforme Human-in-the-loop-Datenschicht positionieren.</t>
        </is>
      </c>
      <c r="X38" s="18" t="n">
        <v>24</v>
      </c>
      <c r="Y38" s="18" t="n">
        <v>27</v>
      </c>
      <c r="Z38" s="18" t="n">
        <v>19</v>
      </c>
      <c r="AA38" s="18" t="n">
        <v>10</v>
      </c>
      <c r="AB38" s="18" t="n">
        <v>8</v>
      </c>
      <c r="AC38" s="15" t="inlineStr">
        <is>
          <t>Mittel</t>
        </is>
      </c>
      <c r="AD38" s="15" t="inlineStr">
        <is>
          <t>NEU – Recherche-Ergaenzung</t>
        </is>
      </c>
      <c r="AE38" s="16" t="inlineStr">
        <is>
          <t>https://www.indexventures.com/</t>
        </is>
      </c>
      <c r="AF38" s="16" t="inlineStr">
        <is>
          <t>https://www.indexventures.com/</t>
        </is>
      </c>
    </row>
    <row r="39">
      <c r="A39" s="12" t="n">
        <v>35</v>
      </c>
      <c r="B39" s="14" t="inlineStr">
        <is>
          <t>Nauta Capital</t>
        </is>
      </c>
      <c r="C39" s="13" t="inlineStr">
        <is>
          <t>A</t>
        </is>
      </c>
      <c r="D39" s="13" t="n">
        <v>88</v>
      </c>
      <c r="E39" s="15" t="inlineStr">
        <is>
          <t>Barcelona (Büro London)</t>
        </is>
      </c>
      <c r="F39" s="15" t="inlineStr">
        <is>
          <t>Spanien / UK</t>
        </is>
      </c>
      <c r="G39" s="15" t="inlineStr">
        <is>
          <t>Pan-europäisches Early-Stage Venture Capital</t>
        </is>
      </c>
      <c r="H39" s="16" t="inlineStr">
        <is>
          <t>Seed und Series A (Pre-Revenue akzeptiert, Produkt muss operativ sein)</t>
        </is>
      </c>
      <c r="I39" s="18" t="inlineStr">
        <is>
          <t>Ja</t>
        </is>
      </c>
      <c r="J39" s="16" t="inlineStr">
        <is>
          <t>1-5 Mio. EUR durchschnittlich</t>
        </is>
      </c>
      <c r="K39" s="16" t="inlineStr">
        <is>
          <t>über 550 Mio. EUR AUM; 6 Fonds, 207 Investments, 95+ Unternehmen, 2,5 Mrd. EUR Exit-Volumen</t>
        </is>
      </c>
      <c r="L39" s="18" t="inlineStr">
        <is>
          <t>Ja</t>
        </is>
      </c>
      <c r="M39" s="16" t="inlineStr">
        <is>
          <t>Kapitaleffiziente B2B-Software in Europa; explizit genannte Vertikalen: RetailTech, RevenueTech, FinTech, InsurTech, Productivity, HealthTech, Enterprise Software, DevTools &amp; Infra, AI/ML &amp; Data, Security &amp; Privacy, Deep Tech</t>
        </is>
      </c>
      <c r="N39" s="16" t="inlineStr">
        <is>
          <t>Neurolabs (synthetische Trainingsdaten und Visual AI für Retail), YZR (AI-gestützte Datennormalisierung), NumberEight (AI/Privacy), QueryLayer (No-Code-Privacy-Workflows)</t>
        </is>
      </c>
      <c r="O39" s="16" t="inlineStr">
        <is>
          <t>Sehr hoch - 'DevTools &amp; Infra' und 'AI/ML &amp; Data' sind offiziell ausgewiesene Investment-Kategorien, und mit Neurolabs (synthetische Trainingsdaten) sowie YZR (Datennormalisierung) existieren die direktesten Vergleichsinvestments dieser Batch</t>
        </is>
      </c>
      <c r="P39" s="16" t="inlineStr">
        <is>
          <t>DIREKT: Neurolabs – Wettbewerbskonflikt pruefen</t>
        </is>
      </c>
      <c r="Q39" s="16" t="inlineStr">
        <is>
          <t>Carles Ferrer</t>
        </is>
      </c>
      <c r="R39" s="16" t="inlineStr">
        <is>
          <t>General Partner (London); weitere Partner: Jordi Viñas (General Partner, Barcelona), Borja Breña (Partner), Anna Daviau (Partner)</t>
        </is>
      </c>
      <c r="S39" s="16" t="inlineStr">
        <is>
          <t>https://www.linkedin.com/in/borjabrena/ (Borja Breña), https://www.linkedin.com/in/annadaviau/ (Anna Daviau)</t>
        </is>
      </c>
      <c r="T39" s="16" t="inlineStr">
        <is>
          <t>https://landbot.pro/v3/H-1323981-R5EH2XF48C3RH3XZ/index.html (Pitch-Formular), https://www.nautacapital.com/contact</t>
        </is>
      </c>
      <c r="U39" s="16" t="inlineStr">
        <is>
          <t>Nauta führt 'AI/ML &amp; Data' und 'DevTools &amp; Infra' als eigene Investment-Kategorien und hat mit Neurolabs (synthetische Trainingsdaten) und YZR (Datennormalisierung) die thesenmäßig nächstliegenden Portfoliounternehmen dieser Batch. Seed/Series-A-Tickets von 1-5 Mio. EUR passen exakt.</t>
        </is>
      </c>
      <c r="V39" s="16" t="inlineStr">
        <is>
          <t>Kein DACH-Büro und kein deutschsprachiger Partner auf der Team-Seite ausgewiesen - Deal-Sourcing läuft primär über Barcelona und London; starker Fokus auf Kapitaleffizienz, was hohe Personalkosten eines Labeling-Betriebs kritisch machen kann</t>
        </is>
      </c>
      <c r="W39" s="16" t="inlineStr">
        <is>
          <t>Über das Pitch-Formular mit direktem Bezug zu Neurolabs einsteigen: PathWize ergänzt synthetische Daten um verifizierte Human-in-the-Loop-Annotation und passt als kapitaleffizientes B2B-Software-Play in die 'AI/ML &amp; Data'-Kategorie.</t>
        </is>
      </c>
      <c r="X39" s="18" t="n">
        <v>28</v>
      </c>
      <c r="Y39" s="18" t="n">
        <v>28</v>
      </c>
      <c r="Z39" s="18" t="n">
        <v>17</v>
      </c>
      <c r="AA39" s="18" t="n">
        <v>8</v>
      </c>
      <c r="AB39" s="18" t="n">
        <v>7</v>
      </c>
      <c r="AC39" s="18" t="inlineStr">
        <is>
          <t>Hoch</t>
        </is>
      </c>
      <c r="AD39" s="15" t="inlineStr">
        <is>
          <t>NEU – Recherche-Ergaenzung</t>
        </is>
      </c>
      <c r="AE39" s="16" t="inlineStr">
        <is>
          <t>https://www.nautacapital.com/</t>
        </is>
      </c>
      <c r="AF39" s="16" t="inlineStr">
        <is>
          <t>https://www.nautacapital.com/, https://www.nautacapital.com/team/, https://vcmatch.ai/investors/nauta-capital, https://www.crunchbase.com/organization/nauta-capital</t>
        </is>
      </c>
    </row>
    <row r="40">
      <c r="A40" s="12" t="n">
        <v>36</v>
      </c>
      <c r="B40" s="14" t="inlineStr">
        <is>
          <t>UVC Partners</t>
        </is>
      </c>
      <c r="C40" s="13" t="inlineStr">
        <is>
          <t>A</t>
        </is>
      </c>
      <c r="D40" s="13" t="n">
        <v>88</v>
      </c>
      <c r="E40" s="15" t="inlineStr">
        <is>
          <t>Muenchen</t>
        </is>
      </c>
      <c r="F40" s="15" t="inlineStr">
        <is>
          <t>Deutschland</t>
        </is>
      </c>
      <c r="G40" s="15" t="inlineStr">
        <is>
          <t>VC (UnternehmerTUM-nahes Oekosystem)</t>
        </is>
      </c>
      <c r="H40" s="16" t="inlineStr">
        <is>
          <t>Seed und Series A, mit neuem Wachstumsvehikel bis Series B</t>
        </is>
      </c>
      <c r="I40" s="18" t="inlineStr">
        <is>
          <t>Ja</t>
        </is>
      </c>
      <c r="J40" s="16" t="inlineStr">
        <is>
          <t>initial bis 10 Mio. EUR, bis 30 Mio. EUR pro Unternehmen ueber alle Runden</t>
        </is>
      </c>
      <c r="K40" s="16" t="inlineStr">
        <is>
          <t>400 Mio. EUR neu (Fund IV mit 250 Mio. EUR Final Close 2024, im Maerz 2026 um 150 Mio. EUR Growth-Kapital erweitert)</t>
        </is>
      </c>
      <c r="L40" s="18" t="inlineStr">
        <is>
          <t>Ja</t>
        </is>
      </c>
      <c r="M40" s="16" t="inlineStr">
        <is>
          <t>Europaeisches B2B DeepTech und Enterprise Software: AI, Industrial Tech, Mobility, ClimateTech, Quantum; enge Anbindung an UnternehmerTUM und die TU Muenchen</t>
        </is>
      </c>
      <c r="N40" s="16" t="inlineStr">
        <is>
          <t>Aleph Alpha (LLM/Foundation Models), Celonis (Process Mining / Datenanalyse), Tacto (B2B-Supply-Chain-Software), planqc, Q.ANT, DeepDrive, Proxima Fusion, Isar Aerospace</t>
        </is>
      </c>
      <c r="O40" s="16" t="inlineStr">
        <is>
          <t>Hoch - mit Aleph Alpha ein direktes Foundation-Model-Investment und mit Celonis ein Daten-Plattform-Exit im Portfolio; UVC versteht sowohl Modell- als auch Datenoekonomie</t>
        </is>
      </c>
      <c r="P40" s="16" t="inlineStr">
        <is>
          <t>-</t>
        </is>
      </c>
      <c r="Q40" s="16" t="inlineStr">
        <is>
          <t>Benjamin Erhart</t>
        </is>
      </c>
      <c r="R40" s="16" t="inlineStr">
        <is>
          <t>General Partner (Software/AI-Schwerpunkt); Managing Partners: Ingo Potthof und Johannes von Borries</t>
        </is>
      </c>
      <c r="S40" s="16" t="inlineStr">
        <is>
          <t>https://de.linkedin.com/in/benjaminerhart</t>
        </is>
      </c>
      <c r="T40" s="16" t="inlineStr">
        <is>
          <t>Kontakt-/Pitchformular auf https://www.uvcpartners.com/</t>
        </is>
      </c>
      <c r="U40" s="16" t="inlineStr">
        <is>
          <t>Muenchner B2B-DeepTech-Lead mit 400 Mio. EUR frischem Kapital, Seed-/Series-A-Fokus und mit Aleph Alpha sowie Celonis genau den Referenzen, die eine Trainingsdaten-Infrastruktur-Story anschlussfaehig machen. Deutscher Sitz und breite Ticketspanne decken Seed bis Series A vollstaendig ab.</t>
        </is>
      </c>
      <c r="V40" s="16" t="inlineStr">
        <is>
          <t>Starker Hardware-/Industrial-DeepTech-Schwerpunkt (Fusion, Quantum, Antriebe); Naehe zum UnternehmerTUM-Oekosystem bevorzugt Muenchner Deals; Verschiebung Richtung Multi-Stage koennte kleine Pre-Seed-Tickets unattraktiv machen</t>
        </is>
      </c>
      <c r="W40" s="16" t="inlineStr">
        <is>
          <t>Ueber Aleph Alpha argumentieren: souveraene deutsche AI-Modelle brauchen souveraene deutsche Trainingsdaten - PathWize als die Datenpipeline dieser Wertschoepfungskette.</t>
        </is>
      </c>
      <c r="X40" s="18" t="n">
        <v>27</v>
      </c>
      <c r="Y40" s="18" t="n">
        <v>25</v>
      </c>
      <c r="Z40" s="18" t="n">
        <v>16</v>
      </c>
      <c r="AA40" s="18" t="n">
        <v>10</v>
      </c>
      <c r="AB40" s="18" t="n">
        <v>10</v>
      </c>
      <c r="AC40" s="18" t="inlineStr">
        <is>
          <t>Hoch</t>
        </is>
      </c>
      <c r="AD40" s="15" t="inlineStr">
        <is>
          <t>Bestandsliste</t>
        </is>
      </c>
      <c r="AE40" s="16" t="inlineStr">
        <is>
          <t>https://www.uvcpartners.com/</t>
        </is>
      </c>
      <c r="AF40" s="16" t="inlineStr">
        <is>
          <t>https://www.uvcpartners.com/, https://www.uvcpartners.com/blog/uvc-partners-expands-new-fund-to-eu400-million-adding-growth-capital, https://www.vestbee.com/insights/articles/uvc-partners-raises-400-m, https://www.munich-startup.de/en/118225/uvc-partners-expands-fund-to-400-million-euros/, https://sifted.eu/articles/uvc-partners-growth-fund</t>
        </is>
      </c>
    </row>
    <row r="41">
      <c r="A41" s="12" t="n">
        <v>37</v>
      </c>
      <c r="B41" s="14" t="inlineStr">
        <is>
          <t>10x Founders</t>
        </is>
      </c>
      <c r="C41" s="13" t="inlineStr">
        <is>
          <t>A</t>
        </is>
      </c>
      <c r="D41" s="13" t="n">
        <v>87</v>
      </c>
      <c r="E41" s="15" t="inlineStr">
        <is>
          <t>München</t>
        </is>
      </c>
      <c r="F41" s="15" t="inlineStr">
        <is>
          <t>Deutschland</t>
        </is>
      </c>
      <c r="G41" s="15" t="inlineStr">
        <is>
          <t>Founder-Collective Venture Capital</t>
        </is>
      </c>
      <c r="H41" s="16" t="inlineStr">
        <is>
          <t>Pre-Seed und Seed in Europa und USA</t>
        </is>
      </c>
      <c r="I41" s="15" t="inlineStr">
        <is>
          <t>Teilweise (agiert häufig als Co-Investor mit starkem Angel-Netzwerk, führt auch Runden an)</t>
        </is>
      </c>
      <c r="J41" s="16" t="inlineStr">
        <is>
          <t>n/a (nicht offiziell publiziert; Pre-Seed/Seed-typisch)</t>
        </is>
      </c>
      <c r="K41" s="16" t="inlineStr">
        <is>
          <t>ca. 160 Mio. EUR (Fondsschließung 2022); 72 Portfoliounternehmen, 7 Neuinvestments in den letzten 12 Monaten</t>
        </is>
      </c>
      <c r="L41" s="18" t="inlineStr">
        <is>
          <t>Ja</t>
        </is>
      </c>
      <c r="M41" s="16" t="inlineStr">
        <is>
          <t>B2B SaaS, FinTech, AI und Climate Tech; netzwerkgetriebener Frühphaseninvestor mit über 300 Unternehmerinnen und Unternehmern als LPs und Sourcing-Netzwerk</t>
        </is>
      </c>
      <c r="N41" s="16" t="inlineStr">
        <is>
          <t>Magic.dev (AI Coding), LastMile AI (AI-Developer-Tooling/Evaluation), Beyond Presence AI, Qeen.ai, igent.ai, Artisan, Qorelo (AI-ERP), Harper</t>
        </is>
      </c>
      <c r="O41" s="16" t="inlineStr">
        <is>
          <t>Hoch - mit Magic.dev und LastMile AI belegte Investments in AI-Developer-Tools und Modell-Evaluation, also unmittelbar benachbarte Schichten zu Trainingsdaten und Annotation</t>
        </is>
      </c>
      <c r="P41" s="16" t="inlineStr">
        <is>
          <t>-</t>
        </is>
      </c>
      <c r="Q41" s="16" t="inlineStr">
        <is>
          <t>n/a</t>
        </is>
      </c>
      <c r="R41" s="16" t="inlineStr">
        <is>
          <t>n/a (sechs Partner, Namen auf der Website nicht einzeln ausgewiesen)</t>
        </is>
      </c>
      <c r="S41" s="16" t="inlineStr">
        <is>
          <t>n/a</t>
        </is>
      </c>
      <c r="T41" s="16" t="inlineStr">
        <is>
          <t>info@10xfounders.com; Brienner Str. 21, 80333 München</t>
        </is>
      </c>
      <c r="U41" s="16" t="inlineStr">
        <is>
          <t>10x Founders investiert ausschließlich in Pre-Seed und Seed, nennt AI und B2B SaaS explizit in der These und hat mit Magic.dev und LastMile AI Investments direkt in der AI-Developer-Tooling-Nachbarschaft von PathWize. Das Netzwerk aus 300+ Unternehmern in München ist zudem ein starker Kundenzugang für B2B-Labeling.</t>
        </is>
      </c>
      <c r="V41" s="16" t="inlineStr">
        <is>
          <t>Fondsgröße von 160 Mio. EUR stammt aus 2022 - Dry Powder und Nachfolgefonds nicht öffentlich bestätigt; agiert oft als Co-Investor und nicht als Lead; Partnerstruktur auf der Website intransparent</t>
        </is>
      </c>
      <c r="W41" s="16" t="inlineStr">
        <is>
          <t>Über info@10xfounders.com mit einem konkreten Bezug zu Magic.dev und LastMile AI anschreiben: PathWize liefert die Human-in-the-Loop-Datenschicht, die AI-Coding- und Evaluation-Tools im Portfolio zur Qualitätssicherung benötigen.</t>
        </is>
      </c>
      <c r="X41" s="18" t="n">
        <v>29</v>
      </c>
      <c r="Y41" s="18" t="n">
        <v>25</v>
      </c>
      <c r="Z41" s="18" t="n">
        <v>15</v>
      </c>
      <c r="AA41" s="18" t="n">
        <v>8</v>
      </c>
      <c r="AB41" s="18" t="n">
        <v>10</v>
      </c>
      <c r="AC41" s="15" t="inlineStr">
        <is>
          <t>Mittel</t>
        </is>
      </c>
      <c r="AD41" s="15" t="inlineStr">
        <is>
          <t>Bestandsliste</t>
        </is>
      </c>
      <c r="AE41" s="16" t="inlineStr">
        <is>
          <t>https://www.10xfounders.com/</t>
        </is>
      </c>
      <c r="AF41" s="16" t="inlineStr">
        <is>
          <t>https://www.10xfounders.com/, https://tracxn.com/d/venture-capital/10x-founders, https://startupintros.com/orgs/10x-founders, https://www.cbinsights.com/investor/10x-founders</t>
        </is>
      </c>
    </row>
    <row r="42">
      <c r="A42" s="12" t="n">
        <v>38</v>
      </c>
      <c r="B42" s="14" t="inlineStr">
        <is>
          <t>Accel (Europa/London)</t>
        </is>
      </c>
      <c r="C42" s="13" t="inlineStr">
        <is>
          <t>A</t>
        </is>
      </c>
      <c r="D42" s="13" t="n">
        <v>87</v>
      </c>
      <c r="E42" s="15" t="inlineStr">
        <is>
          <t>London (europäisches Büro; global Palo Alto, Bangalore)</t>
        </is>
      </c>
      <c r="F42" s="15" t="inlineStr">
        <is>
          <t>Vereinigtes Königreich</t>
        </is>
      </c>
      <c r="G42" s="15" t="inlineStr">
        <is>
          <t>VC (Multi-Stage, globales Franchise mit eigenem Europa-Team)</t>
        </is>
      </c>
      <c r="H42" s="16" t="inlineStr">
        <is>
          <t>Seed und Series A in Europa (Accel hat zusätzlich ein dediziertes Pre-Seed-/Seed-Programm) sowie Growth</t>
        </is>
      </c>
      <c r="I42" s="15" t="inlineStr">
        <is>
          <t>Ja - regelmäßig Lead in Seed und Series A</t>
        </is>
      </c>
      <c r="J42" s="16" t="inlineStr">
        <is>
          <t>n/a</t>
        </is>
      </c>
      <c r="K42" s="16" t="inlineStr">
        <is>
          <t>n/a (eigene aktuelle Europa-/Israel-Fondsgröße auf der Website nicht ausgewiesen)</t>
        </is>
      </c>
      <c r="L42" s="18" t="inlineStr">
        <is>
          <t>Ja</t>
        </is>
      </c>
      <c r="M42" s="16" t="inlineStr">
        <is>
          <t>Breite Software-/Internetthese mit starkem Enterprise- und AI-Schwerpunkt: Infrastruktur, Developer Tools, Security, Data, Vertical SaaS. Positionierung als 'first partner to exceptional teams'.</t>
        </is>
      </c>
      <c r="N42" s="16" t="inlineStr">
        <is>
          <t>Accel gilt als einer der Hauptinvestoren in Scale AI (Data Labeling) sowie in Synthesia (UK, generative Video-AI), Snyk, Sentry und UiPath - in dieser Recherche nicht über die Accel-Website verifiziert (Homepage liefert nur Navigations- und Markeninhalte).</t>
        </is>
      </c>
      <c r="O42" s="16" t="inlineStr">
        <is>
          <t>Sehr hoch. Direkte Kategorie-Erfahrung über Scale AI, dazu breites europäisches AI-Portfolio und Fähigkeit, ein Unternehmen von Seed bis Growth durchzufinanzieren.</t>
        </is>
      </c>
      <c r="P42" s="16" t="inlineStr">
        <is>
          <t>DIREKT: Scale Ai – Wettbewerbskonflikt pruefen</t>
        </is>
      </c>
      <c r="Q42" s="16" t="inlineStr">
        <is>
          <t>Philippe Botteri</t>
        </is>
      </c>
      <c r="R42" s="16" t="inlineStr">
        <is>
          <t>Partner, London (Fokus Enterprise-/Cloud-Software; nicht in dieser Recherche über die Website verifiziert)</t>
        </is>
      </c>
      <c r="S42" s="16" t="inlineStr">
        <is>
          <t>n/a</t>
        </is>
      </c>
      <c r="T42" s="16" t="inlineStr">
        <is>
          <t>Kontaktseite auf https://www.accel.com/</t>
        </is>
      </c>
      <c r="U42" s="16" t="inlineStr">
        <is>
          <t>Accel kombiniert direkte Data-Labeling-Kategorie-Erfahrung (Scale AI) mit einem sehr aktiven europäischen Early-Stage-Team in London, das auch in DACH investiert. Fähig, Seed bis Series A und darüber hinaus zu leiten.</t>
        </is>
      </c>
      <c r="V42" s="16" t="inlineStr">
        <is>
          <t>Website gibt kaum belastbare Fondsdaten preis - Kennzahlen mussten offen bleiben. Sehr hoher Wettbewerb um Aufmerksamkeit; Erstkontakt praktisch nur über Netzwerk. Möglicher Portfoliokonflikt mit bestehenden Data-Investments.</t>
        </is>
      </c>
      <c r="W42" s="16" t="inlineStr">
        <is>
          <t>Über das Londoner Enterprise-Team ansprechen. Aufhänger: europäische Enterprise-Kunden brauchen Labeling-Pipelines, die in der EU verarbeitet werden - Regulatorik (EU AI Act, DSGVO) als struktureller Wettbewerbsvorteil gegenüber US-Anbietern.</t>
        </is>
      </c>
      <c r="X42" s="18" t="n">
        <v>24</v>
      </c>
      <c r="Y42" s="18" t="n">
        <v>26</v>
      </c>
      <c r="Z42" s="18" t="n">
        <v>19</v>
      </c>
      <c r="AA42" s="18" t="n">
        <v>10</v>
      </c>
      <c r="AB42" s="18" t="n">
        <v>8</v>
      </c>
      <c r="AC42" s="15" t="inlineStr">
        <is>
          <t>Niedrig</t>
        </is>
      </c>
      <c r="AD42" s="15" t="inlineStr">
        <is>
          <t>NEU – Recherche-Ergaenzung</t>
        </is>
      </c>
      <c r="AE42" s="16" t="inlineStr">
        <is>
          <t>https://www.accel.com/</t>
        </is>
      </c>
      <c r="AF42" s="16" t="inlineStr">
        <is>
          <t>https://www.accel.com/</t>
        </is>
      </c>
    </row>
    <row r="43">
      <c r="A43" s="12" t="n">
        <v>39</v>
      </c>
      <c r="B43" s="14" t="inlineStr">
        <is>
          <t>Balderton Capital</t>
        </is>
      </c>
      <c r="C43" s="13" t="inlineStr">
        <is>
          <t>A</t>
        </is>
      </c>
      <c r="D43" s="13" t="n">
        <v>87</v>
      </c>
      <c r="E43" s="15" t="inlineStr">
        <is>
          <t>London</t>
        </is>
      </c>
      <c r="F43" s="18" t="inlineStr">
        <is>
          <t>UK</t>
        </is>
      </c>
      <c r="G43" s="18" t="inlineStr">
        <is>
          <t>VC</t>
        </is>
      </c>
      <c r="H43" s="16" t="inlineStr">
        <is>
          <t>Series A als Kern, zunehmend Seed; separater Growth-Fonds bis IPO</t>
        </is>
      </c>
      <c r="I43" s="15" t="inlineStr">
        <is>
          <t>Ja - typischer Lead-Investor in Series A</t>
        </is>
      </c>
      <c r="J43" s="16" t="inlineStr">
        <is>
          <t>n/a (Series-A-Leadtickets typisch 5-20 Mio. USD)</t>
        </is>
      </c>
      <c r="K43" s="16" t="inlineStr">
        <is>
          <t>Early Stage Fund IX 615 Mio. USD + Growth Fund II 685 Mio. USD (zusammen 1,3 Mrd. USD); ueber 4 Mrd. USD in neun Fonds</t>
        </is>
      </c>
      <c r="L43" s="18" t="inlineStr">
        <is>
          <t>Ja</t>
        </is>
      </c>
      <c r="M43" s="16" t="inlineStr">
        <is>
          <t>Ausschliesslich europaeisch gegruendete Tech-Companies; AI, Fintech, B2B SaaS, Digital Health, Mobility, Gaming, Marketplaces; Managing Partner argumentiert explizit fuer europaeische Technologie-Souveraenitaet</t>
        </is>
      </c>
      <c r="N43" s="16" t="inlineStr">
        <is>
          <t>Kili Technology (Data-Annotation-Plattform, 25 Mio. USD Series A von Balderton gefuehrt), deepset (NLP/LLM-Infrastruktur, Berlin), Revolut, Depop; eigener Thought-Leadership-Artikel 'On building the next data infrastructure for Enterprise AI'</t>
        </is>
      </c>
      <c r="O43" s="16" t="inlineStr">
        <is>
          <t>Sehr hoch - Balderton hat die Series A des franzoesischen Labeling-Anbieters Kili Technology angefuehrt und publiziert aktiv zu Enterprise-AI-Datenschichten</t>
        </is>
      </c>
      <c r="P43" s="16" t="inlineStr">
        <is>
          <t>DIREKT: Kili – Wettbewerbskonflikt pruefen</t>
        </is>
      </c>
      <c r="Q43" s="16" t="inlineStr">
        <is>
          <t>Bernard Liautaud</t>
        </is>
      </c>
      <c r="R43" s="16" t="inlineStr">
        <is>
          <t>Managing Partner (Gruender von Business Objects, fuehrte die Kili-Technology-Runde)</t>
        </is>
      </c>
      <c r="S43" s="16" t="inlineStr">
        <is>
          <t>n/a (Profilseite: https://www.balderton.com/team/bernard-liautaud/)</t>
        </is>
      </c>
      <c r="T43" s="16" t="inlineStr">
        <is>
          <t>Kontaktformular auf balderton.com; kein oeffentliches Pitch-Postfach belegbar</t>
        </is>
      </c>
      <c r="U43" s="16" t="inlineStr">
        <is>
          <t>Der einzige Fonds der Batch mit einem gefuehrten Investment in einen reinen Data-Annotation-Anbieter (Kili) plus deepset in Berlin - Balderton kennt Markt, Unit Economics und Wettbewerbsdynamik von Labeling-Plattformen genau.</t>
        </is>
      </c>
      <c r="V43" s="16" t="inlineStr">
        <is>
          <t>Kein Pre-Seed, Seed nur selektiv - fuer eine Pre-Seed-Runde zu frueh; Kili im Portfolio kann als Konflikt gewertet werden; UK-zentriert, DACH nur opportunistisch</t>
        </is>
      </c>
      <c r="W43" s="16" t="inlineStr">
        <is>
          <t>Direkt an Bernard Liautaud mit der Kili-Analogie: PathWize adressiert dasselbe Problem, aber mit deutscher Datenhoheit und Human-in-the-loop-Qualitaet fuer regulierte europaeische Enterprises.</t>
        </is>
      </c>
      <c r="X43" s="18" t="n">
        <v>22</v>
      </c>
      <c r="Y43" s="18" t="n">
        <v>26</v>
      </c>
      <c r="Z43" s="18" t="n">
        <v>20</v>
      </c>
      <c r="AA43" s="18" t="n">
        <v>10</v>
      </c>
      <c r="AB43" s="18" t="n">
        <v>9</v>
      </c>
      <c r="AC43" s="18" t="inlineStr">
        <is>
          <t>Hoch</t>
        </is>
      </c>
      <c r="AD43" s="15" t="inlineStr">
        <is>
          <t>Bestandsliste</t>
        </is>
      </c>
      <c r="AE43" s="16" t="inlineStr">
        <is>
          <t>https://www.balderton.com/</t>
        </is>
      </c>
      <c r="AF43" s="16" t="inlineStr">
        <is>
          <t>https://www.balderton.com/, https://www.balderton.com/news/kili-technology-raises-25m-to-speed-up-ai-adoption/, https://www.balderton.com/team/bernard-liautaud/, https://www.vestbee.com/insights/articles/balderton-capital-raises-1-3-b, https://medium.com/balderton/on-building-the-next-data-infrastructure-for-enterprise-ai-fc4909a827e7</t>
        </is>
      </c>
    </row>
    <row r="44">
      <c r="A44" s="12" t="n">
        <v>40</v>
      </c>
      <c r="B44" s="14" t="inlineStr">
        <is>
          <t>HV Capital</t>
        </is>
      </c>
      <c r="C44" s="13" t="inlineStr">
        <is>
          <t>A</t>
        </is>
      </c>
      <c r="D44" s="13" t="n">
        <v>87</v>
      </c>
      <c r="E44" s="15" t="inlineStr">
        <is>
          <t>Muenchen und Berlin</t>
        </is>
      </c>
      <c r="F44" s="15" t="inlineStr">
        <is>
          <t>Deutschland</t>
        </is>
      </c>
      <c r="G44" s="15" t="inlineStr">
        <is>
          <t>VC (Multi-Stage, unabhaengig; ehemals Holtzbrinck Ventures)</t>
        </is>
      </c>
      <c r="H44" s="16" t="inlineStr">
        <is>
          <t>Seed bis Series D (getrennte Venture- und Growth-Tranchen)</t>
        </is>
      </c>
      <c r="I44" s="15" t="inlineStr">
        <is>
          <t>Ja, fuehrt Seed- und Series-A-Runden im DACH-Raum regelmaessig an</t>
        </is>
      </c>
      <c r="J44" s="16" t="inlineStr">
        <is>
          <t>n/a im Detail; Seed-Tickets im niedrigen einstelligen Mio.-Bereich, Growth deutlich hoeher</t>
        </is>
      </c>
      <c r="K44" s="16" t="inlineStr">
        <is>
          <t>Fonds IX ca. 783 Mio. EUR (groesster HV-Fonds, aufgeteilt in Venture und Growth)</t>
        </is>
      </c>
      <c r="L44" s="18" t="inlineStr">
        <is>
          <t>Ja</t>
        </is>
      </c>
      <c r="M44" s="16" t="inlineStr">
        <is>
          <t>Europaeische digitale Technologieunternehmen: B2B-Software/SaaS, AI, Fintech, Consumer/Marktplaetze, Health, Logistik, Climate. AI wird als eigenstaendiges Fokusfeld gefuehrt.</t>
        </is>
      </c>
      <c r="N44" s="16" t="inlineStr">
        <is>
          <t>Fifth Dimension AI (22 Mio. EUR Series A), SPREAD AI (30 Mio. USD Series B, Engineering-Datengraph), DeepL, Isar Aerospace sowie zahlreiche B2B-SaaS-Beteiligungen.</t>
        </is>
      </c>
      <c r="O44" s="16" t="inlineStr">
        <is>
          <t>Hoch: SPREAD AI und DeepL zeigen belegte Erfahrung mit datenintensiven ML-Produkten; ein Labeling-Layer ist die logische Ergaenzung im Portfolio.</t>
        </is>
      </c>
      <c r="P44" s="16" t="inlineStr">
        <is>
          <t>-</t>
        </is>
      </c>
      <c r="Q44" s="16" t="inlineStr">
        <is>
          <t>n/a (9 Partner im Team, kein einzelner AI-Lead eindeutig belegbar)</t>
        </is>
      </c>
      <c r="R44" s="16" t="inlineStr">
        <is>
          <t>n/a</t>
        </is>
      </c>
      <c r="S44" s="16" t="inlineStr">
        <is>
          <t>n/a</t>
        </is>
      </c>
      <c r="T44" s="16" t="inlineStr">
        <is>
          <t>Kontakt-/Pitch-Formular auf hvcapital.com (Website zum Rechercheszeitpunkt zeitweise nicht erreichbar, HTTP 503)</t>
        </is>
      </c>
      <c r="U44" s="16" t="inlineStr">
        <is>
          <t>Groesster unabhaengiger deutscher Multi-Stage-VC mit 783-Mio.-EUR-Fonds, expliziter AI-These und 31 Investments allein 2025 - fuehrt Seed- und Series-A-Runden in Deutschland aktiv an.</t>
        </is>
      </c>
      <c r="V44" s="16" t="inlineStr">
        <is>
          <t>Kein Pre-Seed; sehr hoher Dealflow und entsprechende Selektivitaet; kein eindeutig identifizierbarer AI-/Data-Infra-Partner als Einstiegspunkt.</t>
        </is>
      </c>
      <c r="W44" s="16" t="inlineStr">
        <is>
          <t>Ueber die Portfolio-Bruecke ansetzen: PathWize als Labeling-Partner fuer HV-Beteiligungen wie SPREAD AI und DeepL, die kontinuierlich hochwertige annotierte Domaenendaten benoetigen.</t>
        </is>
      </c>
      <c r="X44" s="18" t="n">
        <v>26</v>
      </c>
      <c r="Y44" s="18" t="n">
        <v>25</v>
      </c>
      <c r="Z44" s="18" t="n">
        <v>16</v>
      </c>
      <c r="AA44" s="18" t="n">
        <v>10</v>
      </c>
      <c r="AB44" s="18" t="n">
        <v>10</v>
      </c>
      <c r="AC44" s="15" t="inlineStr">
        <is>
          <t>Mittel</t>
        </is>
      </c>
      <c r="AD44" s="15" t="inlineStr">
        <is>
          <t>Bestandsliste</t>
        </is>
      </c>
      <c r="AE44" s="16" t="inlineStr">
        <is>
          <t>https://www.hvcapital.com/</t>
        </is>
      </c>
      <c r="AF44" s="16" t="inlineStr">
        <is>
          <t>https://hvcapital.com/approach, https://tracxn.com/d/venture-capital/hv-capital/__NDaLcHioPNBcfml27IoNC4m7_FSHjx4qdDZl5rFrvX8, https://superscout.co/investor/hv-capital, https://www.crunchbase.com/organization/holtzbrinck-ventures</t>
        </is>
      </c>
    </row>
    <row r="45">
      <c r="A45" s="12" t="n">
        <v>41</v>
      </c>
      <c r="B45" s="14" t="inlineStr">
        <is>
          <t>Redalpine</t>
        </is>
      </c>
      <c r="C45" s="13" t="inlineStr">
        <is>
          <t>A</t>
        </is>
      </c>
      <c r="D45" s="13" t="n">
        <v>87</v>
      </c>
      <c r="E45" s="15" t="inlineStr">
        <is>
          <t>Zuerich (+ Berlin, London)</t>
        </is>
      </c>
      <c r="F45" s="15" t="inlineStr">
        <is>
          <t>Schweiz</t>
        </is>
      </c>
      <c r="G45" s="15" t="inlineStr">
        <is>
          <t>VC (Multi-Stage Investment Advisor)</t>
        </is>
      </c>
      <c r="H45" s="16" t="inlineStr">
        <is>
          <t>Seed bis Series A (Summit Fund fuer Later Stage)</t>
        </is>
      </c>
      <c r="I45" s="15" t="inlineStr">
        <is>
          <t>Ja - fuehrt regelmaessig Seed- und Series-A-Runden an</t>
        </is>
      </c>
      <c r="J45" s="16" t="inlineStr">
        <is>
          <t>n/a (nicht oeffentlich; Seed bis Series A typisch 1-10 Mio.)</t>
        </is>
      </c>
      <c r="K45" s="16" t="inlineStr">
        <is>
          <t>RAC VII: 200 Mio. USD (Aug 2024, groesster Fonds bisher); &gt;1 Mrd. USD AUM</t>
        </is>
      </c>
      <c r="L45" s="18" t="inlineStr">
        <is>
          <t>Ja</t>
        </is>
      </c>
      <c r="M45" s="16" t="inlineStr">
        <is>
          <t>'Software trifft Science': technologische Durchbrueche in AI, Biotech/Health, Fintech, Energy; halbes Team mit Wissenschafts-, halbes mit Operator-Hintergrund; pan-europaeischer Ansatz</t>
        </is>
      </c>
      <c r="N45" s="16" t="inlineStr">
        <is>
          <t>Mistral AI (Foundation Models), Lakera (AI Security, Zuerich), nscale (europaeischer AI-Infrastruktur-Hyperscaler), Uncommon, 9fin, N26, Proxima Fusion</t>
        </is>
      </c>
      <c r="O45" s="16" t="inlineStr">
        <is>
          <t>Kein direktes Labeling-Investment, aber ausgepraegtes AI-Stack-Verstaendnis (Foundation Models + AI-Compute-Infra) - Trainingsdaten sind ein logischer Layer im bestehenden Thesenbild</t>
        </is>
      </c>
      <c r="P45" s="16" t="inlineStr">
        <is>
          <t>-</t>
        </is>
      </c>
      <c r="Q45" s="16" t="inlineStr">
        <is>
          <t>Dr. Michael Sidler</t>
        </is>
      </c>
      <c r="R45" s="16" t="inlineStr">
        <is>
          <t>Founding Partner (Zuerich); weitere: Peter Niederhauser (Founding Partner), Sebastian Becker (General Partner, London)</t>
        </is>
      </c>
      <c r="S45" s="16" t="inlineStr">
        <is>
          <t>n/a</t>
        </is>
      </c>
      <c r="T45" s="16" t="inlineStr">
        <is>
          <t>Kontakt-/Community-Formular auf redalpine.com; keine oeffentliche Pitch-E-Mail auffindbar</t>
        </is>
      </c>
      <c r="U45" s="16" t="inlineStr">
        <is>
          <t>Von neun RAC-VII-Investments haben mehr als die Haelfte einen AI-first-Ansatz, der Rest signifikante AI-Integration - mit Mistral, Lakera und nscale ist der Fonds entlang des gesamten AI-Stacks positioniert und investiert von Zuerich, Berlin und London aus aktiv in DACH.</t>
        </is>
      </c>
      <c r="V45" s="16" t="inlineStr">
        <is>
          <t>Breite Streuung ueber Biotech/Fintech/Energy - Data-Labeling konkurriert intern mit vielen Themen; kein oeffentlicher Pitch-Kanal, warme Einfuehrung faktisch noetig</t>
        </is>
      </c>
      <c r="W45" s="16" t="inlineStr">
        <is>
          <t>Ueber das Berliner Buero anschreiben und PathWize als fehlendes Trainingsdaten-Layer zwischen Mistral (Modelle) und nscale (Compute) im europaeischen souveraenen AI-Stack positionieren.</t>
        </is>
      </c>
      <c r="X45" s="18" t="n">
        <v>28</v>
      </c>
      <c r="Y45" s="18" t="n">
        <v>24</v>
      </c>
      <c r="Z45" s="18" t="n">
        <v>15</v>
      </c>
      <c r="AA45" s="18" t="n">
        <v>10</v>
      </c>
      <c r="AB45" s="18" t="n">
        <v>10</v>
      </c>
      <c r="AC45" s="18" t="inlineStr">
        <is>
          <t>Hoch</t>
        </is>
      </c>
      <c r="AD45" s="15" t="inlineStr">
        <is>
          <t>Bestandsliste</t>
        </is>
      </c>
      <c r="AE45" s="16" t="inlineStr">
        <is>
          <t>https://www.redalpine.com/</t>
        </is>
      </c>
      <c r="AF45" s="16" t="inlineStr">
        <is>
          <t>https://www.redalpine.com/, https://www.redalpine.com/about, https://www.redalpine.com/post/introducing-rac-vii-and-our-london-expansion, https://www.globenewswire.com/news-release/2024/08/27/2936144/0/en/redalpine-closes-largest-fund-to-date-200M-RAC-VII-and-announces-new-London-office.html</t>
        </is>
      </c>
    </row>
    <row r="46">
      <c r="A46" s="12" t="n">
        <v>42</v>
      </c>
      <c r="B46" s="14" t="inlineStr">
        <is>
          <t>Angel Invest</t>
        </is>
      </c>
      <c r="C46" s="13" t="inlineStr">
        <is>
          <t>A</t>
        </is>
      </c>
      <c r="D46" s="13" t="n">
        <v>86</v>
      </c>
      <c r="E46" s="15" t="inlineStr">
        <is>
          <t>Berlin</t>
        </is>
      </c>
      <c r="F46" s="18" t="inlineStr">
        <is>
          <t>DE</t>
        </is>
      </c>
      <c r="G46" s="15" t="inlineStr">
        <is>
          <t>Angel-Fonds / Micro-VC</t>
        </is>
      </c>
      <c r="H46" s="16" t="inlineStr">
        <is>
          <t>Angel, Pre-Seed, Seed (First Check)</t>
        </is>
      </c>
      <c r="I46" s="15" t="inlineStr">
        <is>
          <t>Nein - schreibt First Checks als Angel/Co-Investor, fuehrt institutionelle Runden i.d.R. nicht an</t>
        </is>
      </c>
      <c r="J46" s="16" t="inlineStr">
        <is>
          <t>ca. 125.000 EUR Erstinvestment</t>
        </is>
      </c>
      <c r="K46" s="16" t="inlineStr">
        <is>
          <t>Fund III: 40 Mio. EUR (Closing Juni 2026); 240+ Portfoliounternehmen</t>
        </is>
      </c>
      <c r="L46" s="18" t="inlineStr">
        <is>
          <t>Ja</t>
        </is>
      </c>
      <c r="M46" s="16" t="inlineStr">
        <is>
          <t>Generalistisch technologiegetrieben mit klarem Schwerpunkt auf B2B-/Enterprise-Software, SaaS, AI-native Startups; Fokus auf Gruenderqualitaet, sehr hohe Deal-Frequenz</t>
        </is>
      </c>
      <c r="N46" s="16" t="inlineStr">
        <is>
          <t>Rasa (Open-Source Conversational-AI / NLP-Framework), Taktile (Decision-Infrastruktur fuer Daten/Risk), Spacelift (Infrastructure-as-Code / DevOps-Tooling), Peec AI, INXM, Daisytuner, AskVinny; Fund III laut Berichten stark AI-native</t>
        </is>
      </c>
      <c r="O46" s="16" t="inlineStr">
        <is>
          <t>Mittel-hoch: mehrere ML-/Data-Infra-Investments (Rasa, Taktile) und eigenes AI-Angel-Syndikat, aber kein belegtes reines Labeling-/Trainingsdaten-Investment</t>
        </is>
      </c>
      <c r="P46" s="16" t="inlineStr">
        <is>
          <t>-</t>
        </is>
      </c>
      <c r="Q46" s="16" t="inlineStr">
        <is>
          <t>Dr. Jens Lapinski</t>
        </is>
      </c>
      <c r="R46" s="16" t="inlineStr">
        <is>
          <t>Co-Founder, Managing Director &amp; Partner (zuvor Managing Director Techstars Berlin)</t>
        </is>
      </c>
      <c r="S46" s="16" t="inlineStr">
        <is>
          <t>n/a</t>
        </is>
      </c>
      <c r="T46" s="16" t="inlineStr">
        <is>
          <t>https://angelinvest.ventures/contact-us</t>
        </is>
      </c>
      <c r="U46" s="16" t="inlineStr">
        <is>
          <t>Extrem aktiver Berliner Pre-Seed-/Seed-Investor mit frischem 40-Mio.-EUR-Fonds III, dessen aktuelle Deals stark AI-native sind und der mit Rasa und Taktile belegte ML-/Data-Infrastruktur-Erfahrung hat. Perfekte Stage- und Geo-Passung fuer eine deutsche Pre-Seed-/Seed-Runde.</t>
        </is>
      </c>
      <c r="V46" s="16" t="inlineStr">
        <is>
          <t>Kleines Erstticket (~125k EUR) und kein Lead-Investor - PathWize braucht zusaetzlich einen Lead; sehr hohe Deal-Anzahl bedeutet wenig Zeit pro Portfoliounternehmen</t>
        </is>
      </c>
      <c r="W46" s="16" t="inlineStr">
        <is>
          <t>Als First-Check-Investor fuer die Pre-Seed-Runde ansprechen und den Bogen zu Rasa/Taktile schlagen: PathWize liefert die Human-in-the-loop-Trainingsdaten-Schicht, ohne die genau diese ML-Produkte nicht funktionieren.</t>
        </is>
      </c>
      <c r="X46" s="18" t="n">
        <v>25</v>
      </c>
      <c r="Y46" s="18" t="n">
        <v>26</v>
      </c>
      <c r="Z46" s="18" t="n">
        <v>15</v>
      </c>
      <c r="AA46" s="18" t="n">
        <v>10</v>
      </c>
      <c r="AB46" s="18" t="n">
        <v>10</v>
      </c>
      <c r="AC46" s="18" t="inlineStr">
        <is>
          <t>Hoch</t>
        </is>
      </c>
      <c r="AD46" s="15" t="inlineStr">
        <is>
          <t>Bestandsliste</t>
        </is>
      </c>
      <c r="AE46" s="16" t="inlineStr">
        <is>
          <t>https://angelinvest.ventures/</t>
        </is>
      </c>
      <c r="AF46" s="16" t="inlineStr">
        <is>
          <t>https://angelinvest.ventures/, https://angelinvest.ventures/facts, https://www.eu-startups.com/2026/06/berlin-based-angel-invest-close-e40-million-fund-iii-targeting-angel-to-seed-stages/, https://bebeez.eu/2026/06/11/berlin-based-angel-invest-close-e40-million-fund-iii-targeting-angel-to-seed-stages/</t>
        </is>
      </c>
    </row>
    <row r="47">
      <c r="A47" s="12" t="n">
        <v>43</v>
      </c>
      <c r="B47" s="14" t="inlineStr">
        <is>
          <t>eCAPITAL</t>
        </is>
      </c>
      <c r="C47" s="13" t="inlineStr">
        <is>
          <t>A</t>
        </is>
      </c>
      <c r="D47" s="13" t="n">
        <v>86</v>
      </c>
      <c r="E47" s="15" t="inlineStr">
        <is>
          <t>Münster</t>
        </is>
      </c>
      <c r="F47" s="15" t="inlineStr">
        <is>
          <t>Deutschland</t>
        </is>
      </c>
      <c r="G47" s="15" t="inlineStr">
        <is>
          <t>VC (eCAPITAL ENTREPRENEURIAL PARTNERS AG)</t>
        </is>
      </c>
      <c r="H47" s="16" t="inlineStr">
        <is>
          <t>Seed, Series A und Series B (Early bis Growth Stage)</t>
        </is>
      </c>
      <c r="I47" s="15" t="inlineStr">
        <is>
          <t>Ja - agiert regelmäßig als Lead-Investor in Deep-Tech-Runden (u.a. sonnen, Novaled, Jedox, Ferroelectric Memory Company)</t>
        </is>
      </c>
      <c r="J47" s="16" t="inlineStr">
        <is>
          <t>Nicht offiziell ausgewiesen; typischerweise niedriger bis mittlerer einstelliger Millionenbereich mit Follow-on-Reserven (offizielle Angabe: n/a)</t>
        </is>
      </c>
      <c r="K47" s="16" t="inlineStr">
        <is>
          <t>über 400 Mio. EUR AUM; aktive Fonds eCAPITAL IV (2017), eCAPITAL Cybersecurity (2018) und eCAPITAL V (2022); unterstützt vom Europäischen Investitionsfonds</t>
        </is>
      </c>
      <c r="L47" s="15" t="inlineStr">
        <is>
          <t>Teilweise</t>
        </is>
      </c>
      <c r="M47" s="16" t="inlineStr">
        <is>
          <t>Software und Informationstechnologie, Cybersecurity, Industrie 4.0, neue Materialien und Cleantech. Betreibt mit dem Cybersecurity-Fonds den ersten dedizierten Cyber-VC-Fonds Deutschlands und veranstaltet die Konferenz Invest4Cyber.</t>
        </is>
      </c>
      <c r="N47" s="16" t="inlineStr">
        <is>
          <t>Brighter AI (datenschutzkonforme Anonymisierung von Bild- und Videodaten für AI-Training, erfolgreicher Exit), Apheris (föderierte Datenkollaboration für AI/ML über Unternehmensgrenzen hinweg), Jedox (Data Analytics und Planung), VisioLab (Computer-Vision-Checkout), Node.Energy</t>
        </is>
      </c>
      <c r="O47" s="16" t="inlineStr">
        <is>
          <t>Sehr hoch: Brighter AI (Aufbereitung von Bild-/Videodaten für AI-Training) und Apheris (Datenzugang für ML-Training) sind unmittelbar benachbarte Trainingsdaten-Themen - eCAPITAL versteht die Wertschöpfungskette Trainingsdaten nachweislich.</t>
        </is>
      </c>
      <c r="P47" s="16" t="inlineStr">
        <is>
          <t>-</t>
        </is>
      </c>
      <c r="Q47" s="16" t="inlineStr">
        <is>
          <t>Paul-Josef Patt</t>
        </is>
      </c>
      <c r="R47" s="16" t="inlineStr">
        <is>
          <t>CEO / Managing Partner (weitere: Willi Mannheims und Dirk Seewald, Managing Partner)</t>
        </is>
      </c>
      <c r="S47" s="16" t="inlineStr">
        <is>
          <t>n/a</t>
        </is>
      </c>
      <c r="T47" s="16" t="inlineStr">
        <is>
          <t>Kontaktformular: https://ecapital.vc/contact/ ; Unternehmensprofil: https://www.linkedin.com/company/ecapital-entrepreneurial-partners/</t>
        </is>
      </c>
      <c r="U47" s="16" t="inlineStr">
        <is>
          <t>eCAPITAL hat mit Brighter AI und Apheris zwei Investments direkt an der Schnittstelle von Trainingsdaten, Datenschutz und ML - damit den konkretesten Data-Layer-Track-Record der Batch - und investiert in der passenden Seed-/Series-A-Phase mit über 400 Mio. EUR AUM.</t>
        </is>
      </c>
      <c r="V47" s="16" t="inlineStr">
        <is>
          <t>Sektorthese ist breit gestreut (auch neue Materialien und Cleantech); Cybersecurity dominiert die aktuelle Kommunikation. Keine öffentlichen Partner-Direktkontakte.</t>
        </is>
      </c>
      <c r="W47" s="16" t="inlineStr">
        <is>
          <t>Über die Brighter-AI-Analogie einsteigen: PathWize löst die nächste Stufe derselben Kette - nicht nur Anonymisierung, sondern skalierbare Human-in-the-Loop-Annotation für europäische AI-Modelle.</t>
        </is>
      </c>
      <c r="X47" s="18" t="n">
        <v>26</v>
      </c>
      <c r="Y47" s="18" t="n">
        <v>24</v>
      </c>
      <c r="Z47" s="18" t="n">
        <v>18</v>
      </c>
      <c r="AA47" s="18" t="n">
        <v>8</v>
      </c>
      <c r="AB47" s="18" t="n">
        <v>10</v>
      </c>
      <c r="AC47" s="18" t="inlineStr">
        <is>
          <t>Hoch</t>
        </is>
      </c>
      <c r="AD47" s="15" t="inlineStr">
        <is>
          <t>Bestandsliste</t>
        </is>
      </c>
      <c r="AE47" s="16" t="inlineStr">
        <is>
          <t>https://ecapital.vc/</t>
        </is>
      </c>
      <c r="AF47" s="16" t="inlineStr">
        <is>
          <t>https://ecapital.vc/, https://ecapital.vc/news/ecapital-portfolio-company-brighter-ai-acquired-by-leading-international-technology-group/, https://ecapital.vc/news/ecapital-launches-the-first-dedicated-cybersecurity-vc-fund-in-germany/, https://ecapital.vc/news/invest4cyber-2025-ecapital-unites-global-cyber-leaders-in-berlin/, https://www.crunchbase.com/organization/ecapital-entrepreneurial-partners-ag</t>
        </is>
      </c>
    </row>
    <row r="48">
      <c r="A48" s="12" t="n">
        <v>44</v>
      </c>
      <c r="B48" s="14" t="inlineStr">
        <is>
          <t>Amadeus Capital Partners</t>
        </is>
      </c>
      <c r="C48" s="13" t="inlineStr">
        <is>
          <t>A</t>
        </is>
      </c>
      <c r="D48" s="13" t="n">
        <v>85</v>
      </c>
      <c r="E48" s="15" t="inlineStr">
        <is>
          <t>London / Cambridge</t>
        </is>
      </c>
      <c r="F48" s="18" t="inlineStr">
        <is>
          <t>UK</t>
        </is>
      </c>
      <c r="G48" s="15" t="inlineStr">
        <is>
          <t>VC (Early Stage Fund + Deep-Tech-Vehikel)</t>
        </is>
      </c>
      <c r="H48" s="16" t="inlineStr">
        <is>
          <t>Seed und Series A (Early Stage Fund)</t>
        </is>
      </c>
      <c r="I48" s="15" t="inlineStr">
        <is>
          <t>Ja - fuehrte u.a. den V7-Labs-Seed an</t>
        </is>
      </c>
      <c r="J48" s="16" t="inlineStr">
        <is>
          <t>n/a - Seed-Erstickets im ein- bis niedrigen zweistelligen Mio.-Bereich (nicht oeffentlich beziffert)</t>
        </is>
      </c>
      <c r="K48" s="16" t="inlineStr">
        <is>
          <t>110 Mio. GBP (Amadeus V Tech Fund) plus 80 Mio. EUR (Amadeus x APEX Deep Tech Fund)</t>
        </is>
      </c>
      <c r="L48" s="15" t="inlineStr">
        <is>
          <t>Teilweise</t>
        </is>
      </c>
      <c r="M48" s="16" t="inlineStr">
        <is>
          <t>Science- und Engineering-getriebene Deep Tech: AI/ML, Computer Vision, autonome Systeme, Enterprise SaaS, Quantum, Cyber, Advanced Materials</t>
        </is>
      </c>
      <c r="N48" s="16" t="inlineStr">
        <is>
          <t>V7 Labs (Trainingsdaten- und Annotation-Plattform fuer Computer Vision - Seed-Lead), Graphcore (AI-Chips), Riverlane (Quantum), Forescout, Xampla</t>
        </is>
      </c>
      <c r="O48" s="16" t="inlineStr">
        <is>
          <t>Sehr hoch als Referenz - Amadeus fuehrte den 2,2-Mio.-GBP-Seed von V7 Labs an und kennt den Trainingsdaten-Markt aus einer geleiteten Transaktion</t>
        </is>
      </c>
      <c r="P48" s="16" t="inlineStr">
        <is>
          <t>DIREKT: V7 – Wettbewerbskonflikt pruefen</t>
        </is>
      </c>
      <c r="Q48" s="16" t="inlineStr">
        <is>
          <t>Pierre Socha</t>
        </is>
      </c>
      <c r="R48" s="16" t="inlineStr">
        <is>
          <t>Partner, Early Stage Fund - fuehrte das V7-Investment; Schwerpunkt inzwischen Health und Bio. Amelia Armour als weitere Early-Stage-Partnerin, Anne Glover als CEO/Mitgruenderin.</t>
        </is>
      </c>
      <c r="S48" s="16" t="inlineStr">
        <is>
          <t>n/a</t>
        </is>
      </c>
      <c r="T48" s="16" t="inlineStr">
        <is>
          <t>Kontaktformular auf amadeuscapital.com</t>
        </is>
      </c>
      <c r="U48" s="16" t="inlineStr">
        <is>
          <t>Amadeus hat als einziger Fonds dieser Batch einen Trainingsdaten-Seed selbst angefuehrt (V7 Labs) und investiert weiterhin Seed bis Series A in AI/ML-Deep-Tech aus Europa.</t>
        </is>
      </c>
      <c r="V48" s="16" t="inlineStr">
        <is>
          <t>V7 Labs im Portfolio ist ein direkter Wettbewerber; Pierre Socha fokussiert laut Firmenprofil inzwischen Health/Bio, kein dedizierter Data-Infra-Partner; breite Deep-Tech-Streuung inkl. Quantum und Materials; DACH-Traktion gering.</t>
        </is>
      </c>
      <c r="W48" s="16" t="inlineStr">
        <is>
          <t>Mit der V7-Erfahrung als Aufhaenger arbeiten und zeigen, welchen Teil des Trainingsdaten-Marktes PathWize adressiert, den eine reine Computer-Vision-Annotationsplattform nicht abdeckt.</t>
        </is>
      </c>
      <c r="X48" s="18" t="n">
        <v>26</v>
      </c>
      <c r="Y48" s="18" t="n">
        <v>24</v>
      </c>
      <c r="Z48" s="18" t="n">
        <v>19</v>
      </c>
      <c r="AA48" s="18" t="n">
        <v>8</v>
      </c>
      <c r="AB48" s="18" t="n">
        <v>8</v>
      </c>
      <c r="AC48" s="15" t="inlineStr">
        <is>
          <t>Mittel</t>
        </is>
      </c>
      <c r="AD48" s="15" t="inlineStr">
        <is>
          <t>Bestandsliste</t>
        </is>
      </c>
      <c r="AE48" s="16" t="inlineStr">
        <is>
          <t>https://www.amadeuscapital.com/</t>
        </is>
      </c>
      <c r="AF48" s="16" t="inlineStr">
        <is>
          <t>https://www.amadeuscapital.com/v7-labs-raises-3-million-to-empower-ai-teams-with-automated-training-data-workflows/, https://www.amadeuscapital.com/team/pierre-socha/, https://www.uktechnews.info/2020/12/18/v7-labs-secures-2-2-million-seed-investment-led-by-amadeus-capital-partners/</t>
        </is>
      </c>
    </row>
    <row r="49">
      <c r="A49" s="12" t="n">
        <v>45</v>
      </c>
      <c r="B49" s="14" t="inlineStr">
        <is>
          <t>another.vc</t>
        </is>
      </c>
      <c r="C49" s="13" t="inlineStr">
        <is>
          <t>A</t>
        </is>
      </c>
      <c r="D49" s="13" t="n">
        <v>85</v>
      </c>
      <c r="E49" s="15" t="inlineStr">
        <is>
          <t>Muelheim an der Ruhr</t>
        </is>
      </c>
      <c r="F49" s="18" t="inlineStr">
        <is>
          <t>DE</t>
        </is>
      </c>
      <c r="G49" s="18" t="inlineStr">
        <is>
          <t>VC</t>
        </is>
      </c>
      <c r="H49" s="16" t="inlineStr">
        <is>
          <t>Pre-Seed, Seed</t>
        </is>
      </c>
      <c r="I49" s="15" t="inlineStr">
        <is>
          <t>Teilweise - laut Drittquellen Lead bei Deep-Tech-/Industrie-Runden, Website nennt jedoch 100k EUR Erstinvestment</t>
        </is>
      </c>
      <c r="J49" s="16" t="inlineStr">
        <is>
          <t>ca. 100.000 EUR Erstinvestment (Follow-ons moeglich)</t>
        </is>
      </c>
      <c r="K49" s="16" t="inlineStr">
        <is>
          <t>n/a</t>
        </is>
      </c>
      <c r="L49" s="18" t="inlineStr">
        <is>
          <t>Ja</t>
        </is>
      </c>
      <c r="M49" s="16" t="inlineStr">
        <is>
          <t>Drei Kernfelder: AI Applications (branchenspezifische Problemloesung), Bio + Healthcare sowie Frontier Tech; Fokus auf europaeische B2B-/Deep-Tech-Gruenderteams, Gruender vor Produkt</t>
        </is>
      </c>
      <c r="N49" s="16" t="inlineStr">
        <is>
          <t>Apheris (federated Data Networks fuer Drug Discovery - reine Data-Infrastruktur), Comstruct (Data Layer fuer Bau-Beschaffung), Scoreplay (AI-gestuetztes Media-Asset-Management/Tagging fuer Sport), Mimic (Robotik/industrielle Automatisierung)</t>
        </is>
      </c>
      <c r="O49" s="16" t="inlineStr">
        <is>
          <t>Hoch: mit Apheris und Comstruct zwei explizite Data-Infrastruktur-Investments, Scoreplay ist AI-Metadaten-/Tagging-nah - PathWize passt direkt in die These 'AI Applications + Datenschicht'</t>
        </is>
      </c>
      <c r="P49" s="16" t="inlineStr">
        <is>
          <t>Data-Infra-nah</t>
        </is>
      </c>
      <c r="Q49" s="16" t="inlineStr">
        <is>
          <t>Falk Haurenherm</t>
        </is>
      </c>
      <c r="R49" s="16" t="inlineStr">
        <is>
          <t>Co-Founder, Managing Director &amp; Partner (seit 2019, Partner seit 2022); zweiter Managing Director: Malte Scherff</t>
        </is>
      </c>
      <c r="S49" s="16" t="inlineStr">
        <is>
          <t>n/a</t>
        </is>
      </c>
      <c r="T49" s="16" t="inlineStr">
        <is>
          <t>Kontakt ueber Website https://www.another.vc/ (LinkedIn-Profile verlinkt); dedizierte Pitch-E-Mail n/a</t>
        </is>
      </c>
      <c r="U49" s="16" t="inlineStr">
        <is>
          <t>AI Applications ist eine der drei erklaerten Kernthesen und mit Apheris sowie Comstruct sind zwei echte Data-Infrastruktur-Investments belegt. Deutscher Pre-Seed-/Seed-Fonds - Stage, Geo und These passen praktisch vollstaendig.</t>
        </is>
      </c>
      <c r="V49" s="16" t="inlineStr">
        <is>
          <t>Fondsgroesse nicht oeffentlich und kleines Erstticket von ca. 100k EUR; kein oeffentlicher Pitch-Kanal, Zugang laeuft ueber Netzwerk/LinkedIn; Standort Muelheim an der Ruhr abseits der Berliner/Muenchner Deal-Flows</t>
        </is>
      </c>
      <c r="W49" s="16" t="inlineStr">
        <is>
          <t>Ueber die Apheris-Analogie einsteigen: PathWize baut die Human-in-the-loop-Datenschicht, die deren These 'AI Applications brauchen branchenspezifische Daten' operativ ueberhaupt erst einloest.</t>
        </is>
      </c>
      <c r="X49" s="18" t="n">
        <v>26</v>
      </c>
      <c r="Y49" s="18" t="n">
        <v>26</v>
      </c>
      <c r="Z49" s="18" t="n">
        <v>16</v>
      </c>
      <c r="AA49" s="18" t="n">
        <v>7</v>
      </c>
      <c r="AB49" s="18" t="n">
        <v>10</v>
      </c>
      <c r="AC49" s="15" t="inlineStr">
        <is>
          <t>Mittel</t>
        </is>
      </c>
      <c r="AD49" s="15" t="inlineStr">
        <is>
          <t>Bestandsliste</t>
        </is>
      </c>
      <c r="AE49" s="16" t="inlineStr">
        <is>
          <t>https://www.another.vc/</t>
        </is>
      </c>
      <c r="AF49" s="16" t="inlineStr">
        <is>
          <t>https://www.another.vc/, https://www.another.vc/imprint, https://www.crunchbase.com/organization/another-vc, https://www.openvc.app/fund/another.vc</t>
        </is>
      </c>
    </row>
    <row r="50">
      <c r="A50" s="12" t="n">
        <v>46</v>
      </c>
      <c r="B50" s="14" t="inlineStr">
        <is>
          <t>Credo Ventures</t>
        </is>
      </c>
      <c r="C50" s="13" t="inlineStr">
        <is>
          <t>A</t>
        </is>
      </c>
      <c r="D50" s="13" t="n">
        <v>85</v>
      </c>
      <c r="E50" s="18" t="inlineStr">
        <is>
          <t>Prag</t>
        </is>
      </c>
      <c r="F50" s="18" t="inlineStr">
        <is>
          <t>CZ</t>
        </is>
      </c>
      <c r="G50" s="18" t="inlineStr">
        <is>
          <t>VC</t>
        </is>
      </c>
      <c r="H50" s="16" t="inlineStr">
        <is>
          <t>Pre-Seed und Seed - von der Idee bis zum fruehen Product-Market-Fit</t>
        </is>
      </c>
      <c r="I50" s="15" t="inlineStr">
        <is>
          <t>Ja - fuehrt Pre-Seed- und Seed-Runden an (u.a. bei ElevenLabs)</t>
        </is>
      </c>
      <c r="J50" s="16" t="inlineStr">
        <is>
          <t>n/a (Pre-Seed-/Seed-Tickets typisch 0,5-3 Mio. EUR)</t>
        </is>
      </c>
      <c r="K50" s="16" t="inlineStr">
        <is>
          <t>Credo Stage 5: 88 Mio. USD / ueber 74 Mio. EUR - groesster Fonds der Firma (Vorgaenger 75 Mio. EUR, 2022)</t>
        </is>
      </c>
      <c r="L50" s="18" t="inlineStr">
        <is>
          <t>Ja</t>
        </is>
      </c>
      <c r="M50" s="16" t="inlineStr">
        <is>
          <t>IT, Internet, HealthTech, Artificial Intelligence, SaaS und Developer Tools in Mittel- und Osteuropa; starke Dev-Tools- und Infrastruktur-DNA</t>
        </is>
      </c>
      <c r="N50" s="16" t="inlineStr">
        <is>
          <t>ElevenLabs (Pre-Seed/Seed-Investor ab Jan 2023, heute mit 11 Mrd. USD bewertet), UiPath (RPA), Productboard; eigenes Investmentteam-Mitglied fuer Infrastructure/AI/Dev-Tools</t>
        </is>
      </c>
      <c r="O50" s="16" t="inlineStr">
        <is>
          <t>Mittel-Hoch - AI, Infrastruktur und Developer Tools sind explizite Investitionsfelder mit klarem Track Record, aber kein Labeling-Investment belegbar</t>
        </is>
      </c>
      <c r="P50" s="16" t="inlineStr">
        <is>
          <t>-</t>
        </is>
      </c>
      <c r="Q50" s="16" t="inlineStr">
        <is>
          <t>Matej Micek</t>
        </is>
      </c>
      <c r="R50" s="16" t="inlineStr">
        <is>
          <t>Investmentteam / Partner mit Fokus Infrastructure, AI und Developer Tools</t>
        </is>
      </c>
      <c r="S50" s="16" t="inlineStr">
        <is>
          <t>n/a</t>
        </is>
      </c>
      <c r="T50" s="16" t="inlineStr">
        <is>
          <t>Kontakt ueber https://www.credoventures.com/; kein oeffentliches Pitch-Postfach belegbar</t>
        </is>
      </c>
      <c r="U50" s="16" t="inlineStr">
        <is>
          <t>Frischer 88-Mio.-USD-Pre-Seed-Fonds mit expliziter AI-, Infrastruktur- und Dev-Tools-These, einem dedizierten Infra/AI-Investor im Team und dem ElevenLabs-Track-Record als Beleg fuer sehr fruehe AI-Konviktion.</t>
        </is>
      </c>
      <c r="V50" s="16" t="inlineStr">
        <is>
          <t>Klarer CEE-Fokus - Deutschland und DACH sind nicht Kernmarkt, was den Geo-Fit deutlich schwaecht; kleiner Fonds relativ zu westeuropaeischen Peers</t>
        </is>
      </c>
      <c r="W50" s="16" t="inlineStr">
        <is>
          <t>Ueber das CEE-Delivery-Argument einsteigen: PathWize kombiniert deutschen Enterprise-Zugang mit kosteneffizienten mittel-/osteuropaeischen Annotationsteams - Credos Heimatregion.</t>
        </is>
      </c>
      <c r="X50" s="18" t="n">
        <v>29</v>
      </c>
      <c r="Y50" s="18" t="n">
        <v>26</v>
      </c>
      <c r="Z50" s="18" t="n">
        <v>14</v>
      </c>
      <c r="AA50" s="18" t="n">
        <v>10</v>
      </c>
      <c r="AB50" s="18" t="n">
        <v>6</v>
      </c>
      <c r="AC50" s="15" t="inlineStr">
        <is>
          <t>Mittel</t>
        </is>
      </c>
      <c r="AD50" s="15" t="inlineStr">
        <is>
          <t>Bestandsliste</t>
        </is>
      </c>
      <c r="AE50" s="16" t="inlineStr">
        <is>
          <t>https://www.credoventures.com/</t>
        </is>
      </c>
      <c r="AF50" s="16" t="inlineStr">
        <is>
          <t>https://therecursive.com/credo-stage-5-88m-cee-preseed-fund/, https://techfundingnews.com/elevenlabs-uipath-backer-credo-ventures-closes-88m-fund-to-back-cee-pre-seeds/, https://thenextweb.com/news/credo-ventures-88m-fund, https://startupintros.com/orgs/credo-ventures</t>
        </is>
      </c>
    </row>
    <row r="51">
      <c r="A51" s="12" t="n">
        <v>47</v>
      </c>
      <c r="B51" s="14" t="inlineStr">
        <is>
          <t>EQT Ventures</t>
        </is>
      </c>
      <c r="C51" s="13" t="inlineStr">
        <is>
          <t>A</t>
        </is>
      </c>
      <c r="D51" s="13" t="n">
        <v>85</v>
      </c>
      <c r="E51" s="15" t="inlineStr">
        <is>
          <t>Stockholm (Büros u.a. Berlin, London, Paris, Amsterdam, New York)</t>
        </is>
      </c>
      <c r="F51" s="15" t="inlineStr">
        <is>
          <t>Schweden (mit deutschem Standort Berlin)</t>
        </is>
      </c>
      <c r="G51" s="15" t="inlineStr">
        <is>
          <t>VC (Venture-Arm der EQT Group)</t>
        </is>
      </c>
      <c r="H51" s="16" t="inlineStr">
        <is>
          <t>Early Stage als Lead-Investor - Seed, Series A und Series B</t>
        </is>
      </c>
      <c r="I51" s="15" t="inlineStr">
        <is>
          <t>Ja - positioniert sich ausdrücklich als 'early-stage lead investor'</t>
        </is>
      </c>
      <c r="J51" s="16" t="inlineStr">
        <is>
          <t>ca. 2 bis 50 Mio. EUR</t>
        </is>
      </c>
      <c r="K51" s="16" t="inlineStr">
        <is>
          <t>EQT Ventures III mit 1,1 Mrd. EUR (aktiv, aufgelegt 2022); insgesamt rund 2,3 Mrd. EUR über die Ventures-Fonds, über 130 Portfoliounternehmen</t>
        </is>
      </c>
      <c r="L51" s="18" t="inlineStr">
        <is>
          <t>Ja</t>
        </is>
      </c>
      <c r="M51" s="16" t="inlineStr">
        <is>
          <t>'Generation-Defining Companies' mit starkem AI-Schwerpunkt; Sektoren u.a. Software, Deep Tech, Fintech, Climate, Consumer. Eigene KI-Sourcing-Plattform Motherbrain, die über 100 Mio. USD an Investments angebahnt hat.</t>
        </is>
      </c>
      <c r="N51" s="16" t="inlineStr">
        <is>
          <t>Sana Labs (AI Knowledge), Parloa (Conversational AI, Berlin/München), 1X (AI-Robotik), Netlify (Developer-Infrastruktur), Einride; auf Gruppenebene zusätzlich eine dedizierte AI-Infrastructure-Strategie (Rechenzentren, gestartet 2026 mit EdgeConneX)</t>
        </is>
      </c>
      <c r="O51" s="16" t="inlineStr">
        <is>
          <t>Hoch: ausgeprägte AI-These auf Fonds- und Gruppenebene, Developer-Infrastruktur-Investments (Netlify) und deutsche AI-Deals (Parloa). Direkte Labeling-/Annotation-Investments sind nicht belegt.</t>
        </is>
      </c>
      <c r="P51" s="16" t="inlineStr">
        <is>
          <t>Data-Infra-nah</t>
        </is>
      </c>
      <c r="Q51" s="16" t="inlineStr">
        <is>
          <t>Ted Persson</t>
        </is>
      </c>
      <c r="R51" s="16" t="inlineStr">
        <is>
          <t>Partner, EQT Ventures (u.a. verantwortlich für europäische Software-/AI-Deals; weiterer relevanter Investor: Tom Mendoza)</t>
        </is>
      </c>
      <c r="S51" s="16" t="inlineStr">
        <is>
          <t>n/a</t>
        </is>
      </c>
      <c r="T51" s="16" t="inlineStr">
        <is>
          <t>Kontaktformular auf https://eqtgroup.com/private-capital/eqt-ventures ; Berliner Büro als DACH-Zugang; öffentliche Pitch-E-Mail: n/a</t>
        </is>
      </c>
      <c r="U51" s="16" t="inlineStr">
        <is>
          <t>EQT Ventures ist ein europaweit führender Early-Stage-Lead-Investor mit klarer AI-These, 1,1 Mrd. EUR aktivem Fonds und einem Berliner Büro samt deutschen AI-Investments wie Parloa. Der Ticketkorridor ab 2 Mio. EUR passt zu einer ambitionierten Seed- oder Series-A-Runde.</t>
        </is>
      </c>
      <c r="V51" s="16" t="inlineStr">
        <is>
          <t>Untere Ticketgrenze von ca. 2 Mio. EUR macht ein klassisches Pre-Seed unrealistisch; sehr hoher Wettbewerb um Aufmerksamkeit, warme Einführung faktisch notwendig. Fonds III seit 2022 im Deployment, Nachfolgefonds noch nicht angekündigt.</t>
        </is>
      </c>
      <c r="W51" s="16" t="inlineStr">
        <is>
          <t>Über das Berliner Team und die Motherbrain-Datenlogik ansprechen: PathWize liefert die Trainingsdaten-Grundlage, ohne die die AI-Portfoliounternehmen von EQT (Parloa, Sana, 1X) nicht skalieren.</t>
        </is>
      </c>
      <c r="X51" s="18" t="n">
        <v>24</v>
      </c>
      <c r="Y51" s="18" t="n">
        <v>26</v>
      </c>
      <c r="Z51" s="18" t="n">
        <v>16</v>
      </c>
      <c r="AA51" s="18" t="n">
        <v>9</v>
      </c>
      <c r="AB51" s="18" t="n">
        <v>10</v>
      </c>
      <c r="AC51" s="15" t="inlineStr">
        <is>
          <t>Mittel</t>
        </is>
      </c>
      <c r="AD51" s="15" t="inlineStr">
        <is>
          <t>NEU – Recherche-Ergaenzung</t>
        </is>
      </c>
      <c r="AE51" s="16" t="inlineStr">
        <is>
          <t>https://eqtgroup.com/private-capital/eqt-ventures (vormals eqtventures.com)</t>
        </is>
      </c>
      <c r="AF51" s="16" t="inlineStr">
        <is>
          <t>https://eqtgroup.com/private-capital/eqt-ventures, https://stories.eqtventures.com/articles/2025-in-review, https://superscout.co/investor/eqt-ventures, https://eqtgroup.com/news/eqt-introduces-ai-infrastructure-strategy-to-help-build-the-foundation-of-the-ai-economy-2026-04-21, https://tracxn.com/d/venture-capital/eqt-ventures/__aKB8FxFkBMYOqE3lAQKAq5Sz-nztq7a1OS9aL_tI5dY</t>
        </is>
      </c>
    </row>
    <row r="52">
      <c r="A52" s="12" t="n">
        <v>48</v>
      </c>
      <c r="B52" s="14" t="inlineStr">
        <is>
          <t>Kaya VC</t>
        </is>
      </c>
      <c r="C52" s="13" t="inlineStr">
        <is>
          <t>A</t>
        </is>
      </c>
      <c r="D52" s="13" t="n">
        <v>85</v>
      </c>
      <c r="E52" s="18" t="inlineStr">
        <is>
          <t>Prag</t>
        </is>
      </c>
      <c r="F52" s="15" t="inlineStr">
        <is>
          <t>Tschechien</t>
        </is>
      </c>
      <c r="G52" s="18" t="inlineStr">
        <is>
          <t>VC</t>
        </is>
      </c>
      <c r="H52" s="16" t="inlineStr">
        <is>
          <t>Pre-Seed bis Series A (Begleitung bis Growth)</t>
        </is>
      </c>
      <c r="I52" s="15" t="inlineStr">
        <is>
          <t>Ja - fuehrt fruehe Runden an</t>
        </is>
      </c>
      <c r="J52" s="16" t="inlineStr">
        <is>
          <t>1-3 Mio. EUR initial, bis 20 Mio. EUR Follow-on</t>
        </is>
      </c>
      <c r="K52" s="16" t="inlineStr">
        <is>
          <t>Fund V: 70 Mio. EUR (Jun 2025); 40+ Portfoliounternehmen</t>
        </is>
      </c>
      <c r="L52" s="18" t="inlineStr">
        <is>
          <t>Ja</t>
        </is>
      </c>
      <c r="M52" s="16" t="inlineStr">
        <is>
          <t>Global ambitionierte Gruender mit CEE-Bezug; formal generalistisch, faktisch sehr starkes Developer-/AI-Infrastruktur-Buch</t>
        </is>
      </c>
      <c r="N52" s="16" t="inlineStr">
        <is>
          <t>e2b (Cloud-Infrastruktur fuer AI-Agents), Superlinked (Vector-/Embedding-Infrastruktur), TopK (AI-native Search), Better Stack (DevOps/Observability), Upheal, Yoneda Labs, Rohlik</t>
        </is>
      </c>
      <c r="O52" s="16" t="inlineStr">
        <is>
          <t>Kein Labeling-Investment, aber mit Superlinked (Vector-DB/Embeddings) und e2b (Agent-Infra) genau die Nachbarkategorien des Trainingsdaten-Stacks</t>
        </is>
      </c>
      <c r="P52" s="16" t="inlineStr">
        <is>
          <t>-</t>
        </is>
      </c>
      <c r="Q52" s="16" t="inlineStr">
        <is>
          <t>Tomas Obrtac</t>
        </is>
      </c>
      <c r="R52" s="16" t="inlineStr">
        <is>
          <t>General Partner; weitere GPs: Tomas Pacinda, Martin Rajcan, Karel Zheng; Pavel Mucha (Partner)</t>
        </is>
      </c>
      <c r="S52" s="16" t="inlineStr">
        <is>
          <t>n/a</t>
        </is>
      </c>
      <c r="T52" s="16" t="inlineStr">
        <is>
          <t>contact@kaya.vc; zusaetzlich Pitch-Typeform auf kaya.vc</t>
        </is>
      </c>
      <c r="U52" s="16" t="inlineStr">
        <is>
          <t>Trotz generalistischer Aussendarstellung ist das faktische Portfolio (e2b, Superlinked, TopK, Better Stack) ein reines AI-/Dev-Infrastruktur-Buch, und Ticketgroesse von 1-3 Mio. EUR aus einem frischen 70-Mio.-EUR-Fonds passt fuer Seed.</t>
        </is>
      </c>
      <c r="V52" s="16" t="inlineStr">
        <is>
          <t>Klarer CEE-Fokus (Gruender sollten CEE-Bezug haben), Deutschland ist nicht Kernmarkt; kleiner Fonds; keine explizite AI-These auf der Website - der Data-Infra-Fokus ist implizit</t>
        </is>
      </c>
      <c r="W52" s="16" t="inlineStr">
        <is>
          <t>Ueber das Pitch-Typeform mit Superlinked-/e2b-Referenz: PathWize als fehlendes Trainingsdaten-Stueck in Kayas AI-Infrastruktur-Portfolio, mit Betonung eines osteuropaeischen Delivery-/Labeling-Netzwerks.</t>
        </is>
      </c>
      <c r="X52" s="18" t="n">
        <v>29</v>
      </c>
      <c r="Y52" s="18" t="n">
        <v>23</v>
      </c>
      <c r="Z52" s="18" t="n">
        <v>18</v>
      </c>
      <c r="AA52" s="18" t="n">
        <v>9</v>
      </c>
      <c r="AB52" s="18" t="n">
        <v>6</v>
      </c>
      <c r="AC52" s="15" t="inlineStr">
        <is>
          <t>Mittel</t>
        </is>
      </c>
      <c r="AD52" s="15" t="inlineStr">
        <is>
          <t>Bestandsliste</t>
        </is>
      </c>
      <c r="AE52" s="16" t="inlineStr">
        <is>
          <t>https://kaya.vc/</t>
        </is>
      </c>
      <c r="AF52" s="16" t="inlineStr">
        <is>
          <t>https://kaya.vc/</t>
        </is>
      </c>
    </row>
    <row r="53">
      <c r="A53" s="12" t="n">
        <v>49</v>
      </c>
      <c r="B53" s="14" t="inlineStr">
        <is>
          <t>OTB Ventures</t>
        </is>
      </c>
      <c r="C53" s="13" t="inlineStr">
        <is>
          <t>A</t>
        </is>
      </c>
      <c r="D53" s="13" t="n">
        <v>85</v>
      </c>
      <c r="E53" s="15" t="inlineStr">
        <is>
          <t>Amsterdam (Büros: Warschau, Luxemburg)</t>
        </is>
      </c>
      <c r="F53" s="15" t="inlineStr">
        <is>
          <t>Niederlande</t>
        </is>
      </c>
      <c r="G53" s="15" t="inlineStr">
        <is>
          <t>VC (unabhängiger Deep-Tech-Fonds mit Fokus auf europäische Technologie)</t>
        </is>
      </c>
      <c r="H53" s="16" t="inlineStr">
        <is>
          <t>Late Seed und Series A</t>
        </is>
      </c>
      <c r="I53" s="15" t="inlineStr">
        <is>
          <t>Ja (führte u. a. die Series A von Apheris an)</t>
        </is>
      </c>
      <c r="J53" s="16" t="inlineStr">
        <is>
          <t>n/a</t>
        </is>
      </c>
      <c r="K53" s="16" t="inlineStr">
        <is>
          <t>n/a (Website weist keine Fondsgröße aus)</t>
        </is>
      </c>
      <c r="L53" s="18" t="inlineStr">
        <is>
          <t>Ja</t>
        </is>
      </c>
      <c r="M53" s="16" t="inlineStr">
        <is>
          <t>Deep Tech mit drei ausdrücklichen Vertikalen: 'Enterprise AI &amp; Data', 'SpaceTech and Physical AI' sowie 'Novel Computing'. Ziel ist die globale Skalierung europäischer Deep-Tech-Unternehmen.</t>
        </is>
      </c>
      <c r="N53" s="16" t="inlineStr">
        <is>
          <t>Apheris (Berlin - föderierte AI-Infrastruktur, Series A von OTB angeführt), Veridion (Unternehmensdaten/Data-as-a-Service), Silent Eight (AI-Compliance), Semron (Dresden, AI-Chips), SettleMint, ICEYE, Hydrosat, FintechOS - Website-belegt.</t>
        </is>
      </c>
      <c r="O53" s="16" t="inlineStr">
        <is>
          <t>Sehr hoch. 'Enterprise AI &amp; Data' ist eine eigene Investmentvertikale; mit Apheris (Berlin) und Veridion hat OTB bereits direkt in europäische Datenschicht-Infrastruktur investiert - inklusive Datenschutz- und Souveränitätsargumentation.</t>
        </is>
      </c>
      <c r="P53" s="16" t="inlineStr">
        <is>
          <t>-</t>
        </is>
      </c>
      <c r="Q53" s="16" t="inlineStr">
        <is>
          <t>Marcin Hejka</t>
        </is>
      </c>
      <c r="R53" s="16" t="inlineStr">
        <is>
          <t>Co-Founder / General Partner (nicht in dieser Recherche über die Website verifiziert)</t>
        </is>
      </c>
      <c r="S53" s="16" t="inlineStr">
        <is>
          <t>n/a</t>
        </is>
      </c>
      <c r="T53" s="16" t="inlineStr">
        <is>
          <t>contact@otb.vc</t>
        </is>
      </c>
      <c r="U53" s="16" t="inlineStr">
        <is>
          <t>Sehr präziser thematischer Treffer: 'Enterprise AI &amp; Data' als benannte Vertikale, mit Apheris ein Berliner AI-Dateninfrastruktur-Investment als Lead und mit Veridion ein Datenprodukt im Portfolio. Aktiver Deal-Flow (Expansion nach Luxemburg 2025) und Bereitschaft, Runden anzuführen. Deutschland ist über Apheris und Semron nachweislich Zielmarkt.</t>
        </is>
      </c>
      <c r="V53" s="16" t="inlineStr">
        <is>
          <t>Kein Pre-Seed - Einstieg erst ab Late Seed/Series A. Fonds- und Ticketgrößen nicht öffentlich. Schwerpunkt liegt auf technisch tiefen, IP-lastigen Unternehmen; ein human-in-the-loop-Modell muss seine technologische Tiefe (Automatisierung, Active Learning, Qualitätsmodelle) explizit belegen.</t>
        </is>
      </c>
      <c r="W53" s="16" t="inlineStr">
        <is>
          <t>Direkte Mail an contact@otb.vc mit Apheris-Bezug: föderierte AI und europäische Datensouveränität brauchen eine vertrauenswürdige, EU-ansässige Annotationsschicht. PathWize als komplementärer Baustein zur These 'Enterprise AI &amp; Data' positionieren, mit klarem Fokus auf Automatisierungsanteil statt reiner Arbeitsleistung.</t>
        </is>
      </c>
      <c r="X53" s="18" t="n">
        <v>24</v>
      </c>
      <c r="Y53" s="18" t="n">
        <v>27</v>
      </c>
      <c r="Z53" s="18" t="n">
        <v>17</v>
      </c>
      <c r="AA53" s="18" t="n">
        <v>9</v>
      </c>
      <c r="AB53" s="18" t="n">
        <v>8</v>
      </c>
      <c r="AC53" s="18" t="inlineStr">
        <is>
          <t>Hoch</t>
        </is>
      </c>
      <c r="AD53" s="15" t="inlineStr">
        <is>
          <t>NEU – Recherche-Ergaenzung</t>
        </is>
      </c>
      <c r="AE53" s="16" t="inlineStr">
        <is>
          <t>https://otb.vc/</t>
        </is>
      </c>
      <c r="AF53" s="16" t="inlineStr">
        <is>
          <t>https://otb.vc/</t>
        </is>
      </c>
    </row>
    <row r="54">
      <c r="A54" s="12" t="n">
        <v>50</v>
      </c>
      <c r="B54" s="14" t="inlineStr">
        <is>
          <t>Redstone</t>
        </is>
      </c>
      <c r="C54" s="13" t="inlineStr">
        <is>
          <t>A</t>
        </is>
      </c>
      <c r="D54" s="13" t="n">
        <v>85</v>
      </c>
      <c r="E54" s="15" t="inlineStr">
        <is>
          <t>Berlin (zusätzlich Zürich und Helsinki)</t>
        </is>
      </c>
      <c r="F54" s="15" t="inlineStr">
        <is>
          <t>Deutschland</t>
        </is>
      </c>
      <c r="G54" s="15" t="inlineStr">
        <is>
          <t>VC / VC-as-a-Service (Multi-Fonds-Plattform, gegründet 2014)</t>
        </is>
      </c>
      <c r="H54" s="16" t="inlineStr">
        <is>
          <t>Pre-Seed, Seed, Series A — Schwerpunkt Seed in deutschen Startups</t>
        </is>
      </c>
      <c r="I54" s="15" t="inlineStr">
        <is>
          <t>Ja — einer der aktivsten Early-Stage-Leadinvestoren Europas</t>
        </is>
      </c>
      <c r="J54" s="16" t="inlineStr">
        <is>
          <t>n/a (keine offizielle Range publiziert)</t>
        </is>
      </c>
      <c r="K54" s="16" t="inlineStr">
        <is>
          <t>Multi-Fonds-Struktur inkl. eigenem Quantum-Fonds über 52 Mio. EUR; Tracxn weist ca. 7 Mrd. USD AUM aus (inkl. verwalteter VCaaS-Mandate — Zahl mit Vorsicht zu lesen)</t>
        </is>
      </c>
      <c r="L54" s="18" t="inlineStr">
        <is>
          <t>Ja</t>
        </is>
      </c>
      <c r="M54" s="16" t="inlineStr">
        <is>
          <t>Multi-Strategie mit DeepTech als Kernsäule: AI, Photonik, Robotik, Connectivity und Novel Computing; daneben FinTech, Industrial, Energy &amp; Infrastructure, Health, Social Impact, Blue Economy und Venture Debt</t>
        </is>
      </c>
      <c r="N54" s="16" t="inlineStr">
        <is>
          <t>100+ Portfoliounternehmen, darunter Exein (Embedded-Security), Backbone, Tangible, Finanzguru, Empion, CNC24; DeepTech-Säule adressiert AI und Novel Computing explizit; dedizierte Quantum-Investments (u.a. betreut von Chiara Decaroli, PhD)</t>
        </is>
      </c>
      <c r="O54" s="16" t="inlineStr">
        <is>
          <t>Hoch — AI ist als DeepTech-Teilthese benannt, und Founding Partner Michael Brehm hat selbst mit i2x ein Berliner AI-Startup gegründet, versteht also Trainingsdaten-Ökonomie aus Operatorperspektive</t>
        </is>
      </c>
      <c r="P54" s="16" t="inlineStr">
        <is>
          <t>-</t>
        </is>
      </c>
      <c r="Q54" s="16" t="inlineStr">
        <is>
          <t>Michael Brehm</t>
        </is>
      </c>
      <c r="R54" s="16" t="inlineStr">
        <is>
          <t>Founding Partner (parallel Gründer &amp; Geschäftsführer des Berliner AI-Startups i2x seit 2017) — inhaltlich nächster Ansprechpartner für AI-Themen</t>
        </is>
      </c>
      <c r="S54" s="16" t="inlineStr">
        <is>
          <t>https://www.linkedin.com/in/michaelbrehm</t>
        </is>
      </c>
      <c r="T54" s="16" t="inlineStr">
        <is>
          <t>Online-Pitch-Formular auf redstone.vc (Pitch Deck mit Geschäftsmodell und Marktchance); Warm Intro bevorzugt, aber nicht zwingend</t>
        </is>
      </c>
      <c r="U54" s="16" t="inlineStr">
        <is>
          <t>Redstone ist ein sehr aktiver deutscher Seed-Leadinvestor (19 Neuinvestments in den letzten 12 Monaten) mit AI als benannter DeepTech-Teilthese und einem Founding Partner, der selbst ein AI-Startup führt. Offenes Pitch-Formular senkt die Zugangshürde deutlich.</t>
        </is>
      </c>
      <c r="V54" s="16" t="inlineStr">
        <is>
          <t>Sehr breite Multi-Strategie über acht Sektoren plus Venture Debt — AI konkurriert intern mit Quantum, FinTech, Health und Blue Economy; VC-as-a-Service-Modell bedeutet, dass Investments an LP-/Corporate-Mandate gebunden sein können; keine publizierte Ticket-Range; kein belegtes Data-Labeling- oder MLOps-Investment</t>
        </is>
      </c>
      <c r="W54" s="16" t="inlineStr">
        <is>
          <t>Über das Pitch-Formular einsteigen und Michael Brehm parallel als Operator-zu-Operator ansprechen: als i2x-Gründer kennt er die Kosten schlechter Trainingsdaten aus erster Hand.</t>
        </is>
      </c>
      <c r="X54" s="18" t="n">
        <v>28</v>
      </c>
      <c r="Y54" s="18" t="n">
        <v>24</v>
      </c>
      <c r="Z54" s="18" t="n">
        <v>13</v>
      </c>
      <c r="AA54" s="18" t="n">
        <v>10</v>
      </c>
      <c r="AB54" s="18" t="n">
        <v>10</v>
      </c>
      <c r="AC54" s="15" t="inlineStr">
        <is>
          <t>Mittel</t>
        </is>
      </c>
      <c r="AD54" s="15" t="inlineStr">
        <is>
          <t>Bestandsliste</t>
        </is>
      </c>
      <c r="AE54" s="16" t="inlineStr">
        <is>
          <t>https://www.redstone.vc/</t>
        </is>
      </c>
      <c r="AF54" s="16" t="inlineStr">
        <is>
          <t>https://www.redstone.vc/, https://redstone.vc/our-people, https://tracxn.com/d/venture-capital/redstone/__Op9t5bAwtKgmAwv3r5er2gV6yW6KmN0yPEGv2WbFRjA, https://superscout.co/investor/redstone</t>
        </is>
      </c>
    </row>
    <row r="55">
      <c r="A55" s="12" t="n">
        <v>51</v>
      </c>
      <c r="B55" s="14" t="inlineStr">
        <is>
          <t>Target Partners</t>
        </is>
      </c>
      <c r="C55" s="13" t="inlineStr">
        <is>
          <t>A</t>
        </is>
      </c>
      <c r="D55" s="13" t="n">
        <v>85</v>
      </c>
      <c r="E55" s="15" t="inlineStr">
        <is>
          <t>Muenchen</t>
        </is>
      </c>
      <c r="F55" s="18" t="inlineStr">
        <is>
          <t>DE</t>
        </is>
      </c>
      <c r="G55" s="18" t="inlineStr">
        <is>
          <t>VC</t>
        </is>
      </c>
      <c r="H55" s="16" t="inlineStr">
        <is>
          <t>Early Stage (Seed und Series A); Eigenpositionierung 'Always early stage. In it for the long run.'</t>
        </is>
      </c>
      <c r="I55" s="15" t="inlineStr">
        <is>
          <t>Ja (klassischer Lead-Investor in fruehen Runden)</t>
        </is>
      </c>
      <c r="J55" s="16" t="inlineStr">
        <is>
          <t>n/a (nicht oeffentlich beziffert)</t>
        </is>
      </c>
      <c r="K55" s="16" t="inlineStr">
        <is>
          <t>ca. EUR 300 Mio. under management; ueber 100 Investments und 21 Exits seit Gruendung 1999</t>
        </is>
      </c>
      <c r="L55" s="18" t="inlineStr">
        <is>
          <t>Ja</t>
        </is>
      </c>
      <c r="M55" s="16" t="inlineStr">
        <is>
          <t>Enterprise Tech und radikale Technologie mit skalierbaren Geschaeftsmodellen im deutschsprachigen Raum: Software, Datenbanken, Cloud-Infrastruktur, Developer Tools, Digital Twins, AI</t>
        </is>
      </c>
      <c r="N55" s="16" t="inlineStr">
        <is>
          <t>ArangoDB (Multi-Model-/Graph-Datenbank), Instana (APM/Observability, 2020 an IBM verkauft), Swarm64 (Datenbank-Beschleunigung), NavVis (Indoor-Digitalisierung/3D-Scanning), German Autolabs (Voice AI), TIS, Tado</t>
        </is>
      </c>
      <c r="O55" s="16" t="inlineStr">
        <is>
          <t>Sehr hoch nach Kompetenzprofil: ArangoDB, Swarm64 und Instana belegen echte Data-Infrastruktur- und Dev-Tools-Erfahrung; NavVis liefert zusaetzlich 3D-/Sensordaten-Verstaendnis</t>
        </is>
      </c>
      <c r="P55" s="16" t="inlineStr">
        <is>
          <t>Data-Infra-nah</t>
        </is>
      </c>
      <c r="Q55" s="16" t="inlineStr">
        <is>
          <t>Berthold von Freyberg</t>
        </is>
      </c>
      <c r="R55" s="16" t="inlineStr">
        <is>
          <t>Partner und Mitgruender (weitere Partner: Johannes Landgraf, Michael Muennix, Jakob Herold; Mitgruender Kurt Mueller und Waldemar Jantz)</t>
        </is>
      </c>
      <c r="S55" s="16" t="inlineStr">
        <is>
          <t>n/a (Profilseite: https://www.targetpartners.de/people/kurt-mueller)</t>
        </is>
      </c>
      <c r="T55" s="16" t="inlineStr">
        <is>
          <t>start@targetpartners.de</t>
        </is>
      </c>
      <c r="U55" s="16" t="inlineStr">
        <is>
          <t>Muenchner Early-Stage-Fonds mit dem staerksten Data-Infrastruktur-Track-Record der Batch (ArangoDB, Swarm64, Instana) und offener Pitch-Adresse; der einzige Schwachpunkt ist die unklare aktuelle Fondsgeneration.</t>
        </is>
      </c>
      <c r="V55" s="16" t="inlineStr">
        <is>
          <t>Kein oeffentlich kommunizierter neuer Fonds; AUM von ca. EUR 300 Mio. stammt aus aelteren Fondsgenerationen, verfuegbares Dry Powder unklar; niedrige Neuinvestment-Frequenz in den letzten Jahren; keine Ticketgroesse veroeffentlicht</t>
        </is>
      </c>
      <c r="W55" s="16" t="inlineStr">
        <is>
          <t>An den Data-Infra-Track-Record anknuepfen: 'Ihr habt ArangoDB und Swarm64 fruehphasig finanziert - PathWize baut die naechste Schicht darueber: die Trainingsdaten-Infrastruktur fuer europaeische AI-Teams.'</t>
        </is>
      </c>
      <c r="X55" s="18" t="n">
        <v>27</v>
      </c>
      <c r="Y55" s="18" t="n">
        <v>26</v>
      </c>
      <c r="Z55" s="18" t="n">
        <v>16</v>
      </c>
      <c r="AA55" s="18" t="n">
        <v>6</v>
      </c>
      <c r="AB55" s="18" t="n">
        <v>10</v>
      </c>
      <c r="AC55" s="15" t="inlineStr">
        <is>
          <t>Mittel</t>
        </is>
      </c>
      <c r="AD55" s="15" t="inlineStr">
        <is>
          <t>Bestandsliste</t>
        </is>
      </c>
      <c r="AE55" s="16" t="inlineStr">
        <is>
          <t>https://www.targetpartners.de/</t>
        </is>
      </c>
      <c r="AF55" s="16" t="inlineStr">
        <is>
          <t>https://www.targetpartners.de/, https://www.munich-startup.de/en/48867/target-partners/, https://www.crunchbase.com/organization/target-partners, https://www.targetpartners.de/people/kurt-mueller</t>
        </is>
      </c>
    </row>
    <row r="56">
      <c r="A56" s="12" t="n">
        <v>52</v>
      </c>
      <c r="B56" s="14" t="inlineStr">
        <is>
          <t>First Momentum Ventures</t>
        </is>
      </c>
      <c r="C56" s="13" t="inlineStr">
        <is>
          <t>A</t>
        </is>
      </c>
      <c r="D56" s="13" t="n">
        <v>84</v>
      </c>
      <c r="E56" s="15" t="inlineStr">
        <is>
          <t>Karlsruhe (pan-europaeisch taetig)</t>
        </is>
      </c>
      <c r="F56" s="15" t="inlineStr">
        <is>
          <t>Deutschland</t>
        </is>
      </c>
      <c r="G56" s="15" t="inlineStr">
        <is>
          <t>VC (Pre-Seed)</t>
        </is>
      </c>
      <c r="H56" s="16" t="inlineStr">
        <is>
          <t>Pre-Seed (erster institutioneller Check)</t>
        </is>
      </c>
      <c r="I56" s="15" t="inlineStr">
        <is>
          <t>Ja - Lead oder Co-Lead</t>
        </is>
      </c>
      <c r="J56" s="16" t="inlineStr">
        <is>
          <t>250 Tsd. - 1,5 Mio. EUR</t>
        </is>
      </c>
      <c r="K56" s="16" t="inlineStr">
        <is>
          <t>Fund II: 35 Mio. EUR (Apr 2025)</t>
        </is>
      </c>
      <c r="L56" s="18" t="inlineStr">
        <is>
          <t>Ja</t>
        </is>
      </c>
      <c r="M56" s="16" t="inlineStr">
        <is>
          <t>Technisches Deep Tech / B2B im Pre-Seed; Website nennt explizit: AI &amp; ML, Software Infrastructure, Compute, Manufacturing &amp; Robotics, Climate &amp; Energy, Aerospace, Computational Biology</t>
        </is>
      </c>
      <c r="N56" s="16" t="inlineStr">
        <is>
          <t>Atlas Bio (Deep Learning fuer Pharma), Karavela (Brain Foundation Models), Quantum Diamonds, Daedalus, Dive Solutions, TURN2X, Roofline; 40+ Portfoliounternehmen</t>
        </is>
      </c>
      <c r="O56" s="16" t="inlineStr">
        <is>
          <t>Kein direktes Labeling-Investment nachweisbar; 'Software Infrastructure' und 'AI &amp; ML' sind aber ausdrueckliche Investitionsfelder, in die ein Trainingsdaten-Infrastruktur-Case passt</t>
        </is>
      </c>
      <c r="P56" s="16" t="inlineStr">
        <is>
          <t>-</t>
        </is>
      </c>
      <c r="Q56" s="16" t="inlineStr">
        <is>
          <t>Andreas Fischer</t>
        </is>
      </c>
      <c r="R56" s="16" t="inlineStr">
        <is>
          <t>Founding Partner; weitere: Sebastian Boehmer (Founding Partner), Maximilian Ochs (Principal), Christian Neumann (Principal)</t>
        </is>
      </c>
      <c r="S56" s="16" t="inlineStr">
        <is>
          <t>n/a</t>
        </is>
      </c>
      <c r="T56" s="16" t="inlineStr">
        <is>
          <t>info@firstmomentum.vc</t>
        </is>
      </c>
      <c r="U56" s="16" t="inlineStr">
        <is>
          <t>Deutscher Pre-Seed-Lead mit frischem 35-Mio.-EUR-Fonds, der AI/ML und Software-Infrastruktur explizit als Investitionsfelder ausweist und ausdruecklich technische Gruender adressiert ('we speak your language') - Stage, Geo und Ticketgroesse passen exakt.</t>
        </is>
      </c>
      <c r="V56" s="16" t="inlineStr">
        <is>
          <t>Portfolio ist stark hardware-/deep-tech-lastig (Quantum, Fusion, Robotik); ein human-in-the-loop-Service-Anteil koennte als zu wenig 'deep tech' gelesen werden; kleiner Fonds mit begrenzter Follow-on-Kraft</t>
        </is>
      </c>
      <c r="W56" s="16" t="inlineStr">
        <is>
          <t>Direkt an info@firstmomentum.vc mit technischem Pitch: PathWize als Software-Infrastruktur-Play - Labeling-Pipeline mit Automatisierungsgrad und Qualitaetsmetriken, nicht als Dienstleistungsgeschaeft.</t>
        </is>
      </c>
      <c r="X56" s="18" t="n">
        <v>30</v>
      </c>
      <c r="Y56" s="18" t="n">
        <v>24</v>
      </c>
      <c r="Z56" s="18" t="n">
        <v>11</v>
      </c>
      <c r="AA56" s="18" t="n">
        <v>9</v>
      </c>
      <c r="AB56" s="18" t="n">
        <v>10</v>
      </c>
      <c r="AC56" s="18" t="inlineStr">
        <is>
          <t>Hoch</t>
        </is>
      </c>
      <c r="AD56" s="15" t="inlineStr">
        <is>
          <t>Bestandsliste</t>
        </is>
      </c>
      <c r="AE56" s="16" t="inlineStr">
        <is>
          <t>https://www.firstmomentum.vc/</t>
        </is>
      </c>
      <c r="AF56" s="16" t="inlineStr">
        <is>
          <t>https://www.firstmomentum.vc/</t>
        </is>
      </c>
    </row>
    <row r="57">
      <c r="A57" s="12" t="n">
        <v>53</v>
      </c>
      <c r="B57" s="14" t="inlineStr">
        <is>
          <t>Coparion</t>
        </is>
      </c>
      <c r="C57" s="13" t="inlineStr">
        <is>
          <t>A</t>
        </is>
      </c>
      <c r="D57" s="13" t="n">
        <v>83</v>
      </c>
      <c r="E57" s="15" t="inlineStr">
        <is>
          <t>Koeln (zusaetzlich Berlin)</t>
        </is>
      </c>
      <c r="F57" s="18" t="inlineStr">
        <is>
          <t>DE</t>
        </is>
      </c>
      <c r="G57" s="15" t="inlineStr">
        <is>
          <t>Public-Private VC (KfW Capital und Bundeswirtschaftsministerium)</t>
        </is>
      </c>
      <c r="H57" s="16" t="inlineStr">
        <is>
          <t>Seed, Series A, Series B</t>
        </is>
      </c>
      <c r="I57" s="15" t="inlineStr">
        <is>
          <t>Nein - investiert ausschliesslich pari passu mit privaten Co-Investoren, uebernimmt keine Leadfunktion</t>
        </is>
      </c>
      <c r="J57" s="16" t="inlineStr">
        <is>
          <t>0,5 - 8 Mio. EUR pro Runde, bis 15 Mio. EUR pro Unternehmen kumuliert</t>
        </is>
      </c>
      <c r="K57" s="16" t="inlineStr">
        <is>
          <t>aktiver Fonds 275 Mio. EUR</t>
        </is>
      </c>
      <c r="L57" s="18" t="inlineStr">
        <is>
          <t>Ja</t>
        </is>
      </c>
      <c r="M57" s="16" t="inlineStr">
        <is>
          <t>Junge deutsche Technologieunternehmen aller Sektoren mit ersten Erfolgssignalen (Umsatz, Referenzkunden, erfolgreicher Produktlaunch); Enterprise Software, High Tech, Industrial, AI</t>
        </is>
      </c>
      <c r="N57" s="16" t="inlineStr">
        <is>
          <t>Hasty.ai (Annotationsplattform fuer Computer Vision, Berlin - Exit an CloudFactory), zeotap (Customer Data Platform), parcelLab, gridX, 3YOURMIND, ContractHero</t>
        </is>
      </c>
      <c r="O57" s="16" t="inlineStr">
        <is>
          <t>Sehr hoch - Coparion hat mit Hasty.ai bereits direkt in eine deutsche Data-Annotation-Plattform investiert und diese bis zum Exit begleitet; das Team kennt Markt, Metriken und Kaeuferlandschaft</t>
        </is>
      </c>
      <c r="P57" s="16" t="inlineStr">
        <is>
          <t>DIREKT: Cloudfactory, Hasty – Wettbewerbskonflikt pruefen</t>
        </is>
      </c>
      <c r="Q57" s="16" t="inlineStr">
        <is>
          <t>Christian Schulte</t>
        </is>
      </c>
      <c r="R57" s="16" t="inlineStr">
        <is>
          <t>Geschaeftsfuehrer / Managing Director</t>
        </is>
      </c>
      <c r="S57" s="16" t="inlineStr">
        <is>
          <t>n/a</t>
        </is>
      </c>
      <c r="T57" s="16" t="inlineStr">
        <is>
          <t>info@coparion.vc, Tel. +49 30 58 58 44 00, Kontaktformular auf coparion.vc</t>
        </is>
      </c>
      <c r="U57" s="16" t="inlineStr">
        <is>
          <t>Coparion ist der einzige VC dieser Batch mit einem direkten Data-Annotation-Investment (Hasty.ai, Berlin, Exit an CloudFactory) und deckt mit 275 Mio. EUR und Tickets von 0,5 - 8 Mio. EUR genau die Seed- bis Series-A-Spanne von PathWize ab.</t>
        </is>
      </c>
      <c r="V57" s="16" t="inlineStr">
        <is>
          <t>Kein Lead moeglich - es braucht zwingend einen privaten Lead-Investor zu identischen Konditionen; erste Erfolgssignale wie Umsatz oder Referenzkunden werden vorausgesetzt, reines Pre-Seed passt nicht</t>
        </is>
      </c>
      <c r="W57" s="16" t="inlineStr">
        <is>
          <t>Direkt an das Hasty.ai-Investment anknuepfen und PathWize als naechste Generation deutscher Annotation-Infrastruktur positionieren - mit einem bereits gesicherten privaten Lead-Investor im Gepaeck.</t>
        </is>
      </c>
      <c r="X57" s="18" t="n">
        <v>24</v>
      </c>
      <c r="Y57" s="18" t="n">
        <v>22</v>
      </c>
      <c r="Z57" s="18" t="n">
        <v>19</v>
      </c>
      <c r="AA57" s="18" t="n">
        <v>8</v>
      </c>
      <c r="AB57" s="18" t="n">
        <v>10</v>
      </c>
      <c r="AC57" s="18" t="inlineStr">
        <is>
          <t>Hoch</t>
        </is>
      </c>
      <c r="AD57" s="15" t="inlineStr">
        <is>
          <t>Bestandsliste</t>
        </is>
      </c>
      <c r="AE57" s="16" t="inlineStr">
        <is>
          <t>https://www.coparion.vc/</t>
        </is>
      </c>
      <c r="AF57" s="16" t="inlineStr">
        <is>
          <t>https://www.coparion.vc/, https://www.coparion.vc/en/node/811, https://www.coparion.vc/en/node/1073, https://tech.eu/brief/hasty-seed-funding/, https://tracxn.com/d/venture-capital/coparion</t>
        </is>
      </c>
    </row>
    <row r="58">
      <c r="A58" s="12" t="n">
        <v>54</v>
      </c>
      <c r="B58" s="14" t="inlineStr">
        <is>
          <t>Creandum</t>
        </is>
      </c>
      <c r="C58" s="13" t="inlineStr">
        <is>
          <t>A</t>
        </is>
      </c>
      <c r="D58" s="13" t="n">
        <v>83</v>
      </c>
      <c r="E58" s="15" t="inlineStr">
        <is>
          <t>Stockholm (+ Berlin, London, San Francisco)</t>
        </is>
      </c>
      <c r="F58" s="18" t="inlineStr">
        <is>
          <t>SE</t>
        </is>
      </c>
      <c r="G58" s="18" t="inlineStr">
        <is>
          <t>VC</t>
        </is>
      </c>
      <c r="H58" s="16" t="inlineStr">
        <is>
          <t>Seed und Series A, 'before it's obvious'</t>
        </is>
      </c>
      <c r="I58" s="15" t="inlineStr">
        <is>
          <t>Ja - fuehrt Seed- und Series-A-Runden regelmaessig an</t>
        </is>
      </c>
      <c r="J58" s="16" t="inlineStr">
        <is>
          <t>n/a (Seed-/Series-A-Leadtickets typisch 2-15 Mio. USD)</t>
        </is>
      </c>
      <c r="K58" s="16" t="inlineStr">
        <is>
          <t>Fund VII 500 Mio. EUR (2024, aktuell im Deployment); insgesamt neun Fonds</t>
        </is>
      </c>
      <c r="L58" s="18" t="inlineStr">
        <is>
          <t>Ja</t>
        </is>
      </c>
      <c r="M58" s="16" t="inlineStr">
        <is>
          <t>Generalistisch ueber sechs Verticals: SaaS, Infrastructure, Fintech, Consumer, Climate, Health; Infrastructure umfasst High-Performance-Cloud-Computing und fortgeschrittene Datenbanktechnologien</t>
        </is>
      </c>
      <c r="N58" s="16" t="inlineStr">
        <is>
          <t>HostedAI (AI-Infrastruktur, 2026), Spotify, Klarna, Depop; eigenes Infrastructure-Vertical mit Fokus auf Compute- und Datenbanktechnologie</t>
        </is>
      </c>
      <c r="O58" s="16" t="inlineStr">
        <is>
          <t>Mittel-Hoch - 'Infrastructure' ist ein eigenes Vertical und mit Peter Specht existiert ein General Partner mit dediziertem AI-Infrastruktur-Fokus</t>
        </is>
      </c>
      <c r="P58" s="16" t="inlineStr">
        <is>
          <t>Data-Infra-nah</t>
        </is>
      </c>
      <c r="Q58" s="16" t="inlineStr">
        <is>
          <t>Peter Specht</t>
        </is>
      </c>
      <c r="R58" s="16" t="inlineStr">
        <is>
          <t>General Partner (London; explizit AI-Fokus auf Infrastruktur- und Applikationsebene, baute den DACH-Hub in Berlin mit auf)</t>
        </is>
      </c>
      <c r="S58" s="16" t="inlineStr">
        <is>
          <t>n/a (Profilseite: https://creandum.com/team/peter-specht/)</t>
        </is>
      </c>
      <c r="T58" s="16" t="inlineStr">
        <is>
          <t>Kontakt ueber https://creandum.com/; Berliner Investment-Team vor Ort (Simon Schmincke, GP)</t>
        </is>
      </c>
      <c r="U58" s="16" t="inlineStr">
        <is>
          <t>500-Mio.-EUR-Fonds im aktiven Deployment mit eigenem Infrastructure-Vertical, einem GP mit erklaertem AI-Infrastruktur-Fokus und einem etablierten Berliner Team fuer DACH-Deals.</t>
        </is>
      </c>
      <c r="V58" s="16" t="inlineStr">
        <is>
          <t>Generalistisch, Nordics-Schwerpunkt; kein Annotation-/Labeling-Investment belegbar; hoher Qualitaetsanspruch an Traktion selbst im Seed; kein echtes Pre-Seed</t>
        </is>
      </c>
      <c r="W58" s="16" t="inlineStr">
        <is>
          <t>Peter Specht direkt mit der Infrastruktur-These ansprechen: PathWize ist die Datenqualitaetsschicht des AI-Stacks, nicht ein Outsourcing-Dienstleister.</t>
        </is>
      </c>
      <c r="X58" s="18" t="n">
        <v>27</v>
      </c>
      <c r="Y58" s="18" t="n">
        <v>24</v>
      </c>
      <c r="Z58" s="18" t="n">
        <v>13</v>
      </c>
      <c r="AA58" s="18" t="n">
        <v>10</v>
      </c>
      <c r="AB58" s="18" t="n">
        <v>9</v>
      </c>
      <c r="AC58" s="15" t="inlineStr">
        <is>
          <t>Mittel</t>
        </is>
      </c>
      <c r="AD58" s="15" t="inlineStr">
        <is>
          <t>Bestandsliste</t>
        </is>
      </c>
      <c r="AE58" s="16" t="inlineStr">
        <is>
          <t>https://creandum.com/</t>
        </is>
      </c>
      <c r="AF58" s="16" t="inlineStr">
        <is>
          <t>https://creandum.com/, https://creandum.com/team/peter-specht/, https://creandum.com/team/simon-schmincke/, https://tracxn.com/d/venture-capital/creandum/__RT350Gv9s-g2zp6C7v5m7xy1M7GpV30U0ykxBB35zyo, https://pitchbook.com/profiles/fund/25333-93F</t>
        </is>
      </c>
    </row>
    <row r="59">
      <c r="A59" s="12" t="n">
        <v>55</v>
      </c>
      <c r="B59" s="14" t="inlineStr">
        <is>
          <t>Dawn Capital</t>
        </is>
      </c>
      <c r="C59" s="13" t="inlineStr">
        <is>
          <t>A</t>
        </is>
      </c>
      <c r="D59" s="13" t="n">
        <v>83</v>
      </c>
      <c r="E59" s="15" t="inlineStr">
        <is>
          <t>London</t>
        </is>
      </c>
      <c r="F59" s="15" t="inlineStr">
        <is>
          <t>Vereinigtes Königreich</t>
        </is>
      </c>
      <c r="G59" s="15" t="inlineStr">
        <is>
          <t>VC (unabhängig, B2B-Spezialist)</t>
        </is>
      </c>
      <c r="H59" s="16" t="inlineStr">
        <is>
          <t>Series A und Series B (selektiv später Seed), plus Opportunities-Fonds für Folgerunden</t>
        </is>
      </c>
      <c r="I59" s="15" t="inlineStr">
        <is>
          <t>Ja - typischer Lead-Investor in Series A/B</t>
        </is>
      </c>
      <c r="J59" s="16" t="inlineStr">
        <is>
          <t>n/a (typisch mittlerer bis hoher einstelliger bis niedriger zweistelliger Mio.-USD-Bereich in Series A/B)</t>
        </is>
      </c>
      <c r="K59" s="16" t="inlineStr">
        <is>
          <t>n/a (auf der Website nicht ausgewiesen; Dawn zählt zu den größten reinen B2B-Fonds Europas)</t>
        </is>
      </c>
      <c r="L59" s="18" t="inlineStr">
        <is>
          <t>Ja</t>
        </is>
      </c>
      <c r="M59" s="16" t="inlineStr">
        <is>
          <t>Ausschließlich B2B-Software in Europa: Data &amp; Analytics, Data Governance, Enterprise AI, Security, FinTech-Infrastruktur, Developer- und Infrastruktur-Tooling. Über 20 Jahre Track Record, thesengetriebenes Sourcing.</t>
        </is>
      </c>
      <c r="N59" s="16" t="inlineStr">
        <is>
          <t>Dataiku (Data-Science-/AI-Plattform, auf der Website gelistet), Runware (Unified AI API / Inferenz-Infrastruktur), Blackwall (Security), Mimecast; darüber hinaus gelten Collibra (Data Governance) und Quantexa (Decision Intelligence / Entity Resolution) als bekannte Dawn-Investments (nicht in dieser Recherche auf der Website verifiziert).</t>
        </is>
      </c>
      <c r="O59" s="16" t="inlineStr">
        <is>
          <t>Sehr hoch. Dawn ist einer der wenigen europäischen Fonds mit tiefer, belegter Expertise in Daten-Plattformen und Data Governance (Dataiku, Collibra, Quantexa). Data Labeling als Baustein der Enterprise-AI-Datenkette liegt direkt in der These.</t>
        </is>
      </c>
      <c r="P59" s="16" t="inlineStr">
        <is>
          <t>-</t>
        </is>
      </c>
      <c r="Q59" s="16" t="inlineStr">
        <is>
          <t>Evgenia Plotnikova</t>
        </is>
      </c>
      <c r="R59" s="16" t="inlineStr">
        <is>
          <t>General Partner (Fokus Enterprise-Software/Data; nicht in dieser Recherche über die Website verifiziert)</t>
        </is>
      </c>
      <c r="S59" s="16" t="inlineStr">
        <is>
          <t>n/a</t>
        </is>
      </c>
      <c r="T59" s="16" t="inlineStr">
        <is>
          <t>hello@dawncapital.com</t>
        </is>
      </c>
      <c r="U59" s="16" t="inlineStr">
        <is>
          <t>Thematisch nahezu ideal: reiner B2B-Fonds mit belegter Historie in Daten- und AI-Plattformen (Dataiku, Runware) und Data-Governance. Investiert europaweit inklusive DACH und führt Runden an. Einzige Einschränkung ist die Stage: Dawn steigt typischerweise ab Series A ein, Pre-Seed ist praktisch ausgeschlossen.</t>
        </is>
      </c>
      <c r="V59" s="16" t="inlineStr">
        <is>
          <t>Kein Pre-Seed-Investor - für die frühesten Runden zu spät. Erwartet in der Regel belastbares ARR und Enterprise-Referenzkunden. Keine eigene DACH-Niederlassung.</t>
        </is>
      </c>
      <c r="W59" s="16" t="inlineStr">
        <is>
          <t>Als Series-A-Ziel jetzt aufbauen und bis zur Runde warmhalten. Positionierung als 'Datenqualitätsschicht für Enterprise AI' anschlussfähig an Dataiku und Collibra formulieren; konkret zeigen, wie PathWize-Labeling die Modellgüte bei Dawn-Portfoliofirmen verbessern würde (Runware, Dataiku als Referenzlogik).</t>
        </is>
      </c>
      <c r="X59" s="18" t="n">
        <v>22</v>
      </c>
      <c r="Y59" s="18" t="n">
        <v>26</v>
      </c>
      <c r="Z59" s="18" t="n">
        <v>18</v>
      </c>
      <c r="AA59" s="18" t="n">
        <v>9</v>
      </c>
      <c r="AB59" s="18" t="n">
        <v>8</v>
      </c>
      <c r="AC59" s="15" t="inlineStr">
        <is>
          <t>Mittel</t>
        </is>
      </c>
      <c r="AD59" s="15" t="inlineStr">
        <is>
          <t>NEU – Recherche-Ergaenzung</t>
        </is>
      </c>
      <c r="AE59" s="16" t="inlineStr">
        <is>
          <t>https://www.dawncapital.com/</t>
        </is>
      </c>
      <c r="AF59" s="16" t="inlineStr">
        <is>
          <t>https://www.dawncapital.com/</t>
        </is>
      </c>
    </row>
    <row r="60">
      <c r="A60" s="12" t="n">
        <v>56</v>
      </c>
      <c r="B60" s="14" t="inlineStr">
        <is>
          <t>Alven</t>
        </is>
      </c>
      <c r="C60" s="13" t="inlineStr">
        <is>
          <t>A</t>
        </is>
      </c>
      <c r="D60" s="13" t="n">
        <v>82</v>
      </c>
      <c r="E60" s="18" t="inlineStr">
        <is>
          <t>Paris</t>
        </is>
      </c>
      <c r="F60" s="15" t="inlineStr">
        <is>
          <t>Frankreich</t>
        </is>
      </c>
      <c r="G60" s="15" t="inlineStr">
        <is>
          <t>VC (unabhängig, Early Stage, seit 25 Jahren aktiv)</t>
        </is>
      </c>
      <c r="H60" s="16" t="inlineStr">
        <is>
          <t>Seed und Series A (Early Stage)</t>
        </is>
      </c>
      <c r="I60" s="18" t="inlineStr">
        <is>
          <t>Ja</t>
        </is>
      </c>
      <c r="J60" s="16" t="inlineStr">
        <is>
          <t>n/a (Website weist keine Spanne aus)</t>
        </is>
      </c>
      <c r="K60" s="16" t="inlineStr">
        <is>
          <t>n/a</t>
        </is>
      </c>
      <c r="L60" s="18" t="inlineStr">
        <is>
          <t>Ja</t>
        </is>
      </c>
      <c r="M60" s="16" t="inlineStr">
        <is>
          <t>Early-Stage-Investor in europäische Gründerteams, sektorübergreifend mit ausgeprägter Stärke in Daten-, Infrastruktur- und Entwickler-nahen Produkten sowie FinTech und Cybersecurity.</t>
        </is>
      </c>
      <c r="N60" s="16" t="inlineStr">
        <is>
          <t>Dataiku (Data-Science-/AI-Plattform - frühester institutioneller Investor), Algolia (Search-Infrastruktur), Stripe, Qonto, Stoïk (Cyber), Generare (Molekül-Design) - alle auf der Website gelistet.</t>
        </is>
      </c>
      <c r="O60" s="16" t="inlineStr">
        <is>
          <t>Hoch. Alven hat mit Dataiku eine der prägendsten europäischen Data-/ML-Plattformen von der Frühphase begleitet und versteht die Wertschöpfungskette von Rohdaten über Aufbereitung bis Modelltraining.</t>
        </is>
      </c>
      <c r="P60" s="16" t="inlineStr">
        <is>
          <t>-</t>
        </is>
      </c>
      <c r="Q60" s="16" t="inlineStr">
        <is>
          <t>Charles Letourneur</t>
        </is>
      </c>
      <c r="R60" s="16" t="inlineStr">
        <is>
          <t>Founding Partner (nicht in dieser Recherche über die Website verifiziert)</t>
        </is>
      </c>
      <c r="S60" s="16" t="inlineStr">
        <is>
          <t>n/a</t>
        </is>
      </c>
      <c r="T60" s="16" t="inlineStr">
        <is>
          <t>contact@alven.co</t>
        </is>
      </c>
      <c r="U60" s="16" t="inlineStr">
        <is>
          <t>Exzellenter thematischer Fit über Dataiku und Algolia: Alven kennt Daten- und Infrastrukturprodukte in der Frühphase und investiert genau in den Stages Seed/Series A, die PathWize sucht.</t>
        </is>
      </c>
      <c r="V60" s="16" t="inlineStr">
        <is>
          <t>Deutlicher Frankreich-Schwerpunkt; DACH-Investments sind für Alven die Ausnahme, kein Büro in Deutschland. Website nennt weder Fondsgröße noch Ticketspanne - Konditionen müssen direkt erfragt werden.</t>
        </is>
      </c>
      <c r="W60" s="16" t="inlineStr">
        <is>
          <t>Direkt per E-Mail (contact@alven.co) mit Dataiku-Analogie: PathWize als vorgelagerte Datenqualitätsschicht zu Plattformen wie Dataiku. Französische Foundation-Model- und AI-Szene (Mistral-Umfeld) als potenzielle Kundenbasis konkret benennen, um den Frankreich-Bezug herzustellen.</t>
        </is>
      </c>
      <c r="X60" s="18" t="n">
        <v>26</v>
      </c>
      <c r="Y60" s="18" t="n">
        <v>24</v>
      </c>
      <c r="Z60" s="18" t="n">
        <v>17</v>
      </c>
      <c r="AA60" s="18" t="n">
        <v>9</v>
      </c>
      <c r="AB60" s="18" t="n">
        <v>6</v>
      </c>
      <c r="AC60" s="15" t="inlineStr">
        <is>
          <t>Mittel</t>
        </is>
      </c>
      <c r="AD60" s="15" t="inlineStr">
        <is>
          <t>NEU – Recherche-Ergaenzung</t>
        </is>
      </c>
      <c r="AE60" s="16" t="inlineStr">
        <is>
          <t>https://www.alven.co/</t>
        </is>
      </c>
      <c r="AF60" s="16" t="inlineStr">
        <is>
          <t>https://www.alven.co/</t>
        </is>
      </c>
    </row>
    <row r="61">
      <c r="A61" s="12" t="n">
        <v>57</v>
      </c>
      <c r="B61" s="14" t="inlineStr">
        <is>
          <t>Futury Capital</t>
        </is>
      </c>
      <c r="C61" s="13" t="inlineStr">
        <is>
          <t>A</t>
        </is>
      </c>
      <c r="D61" s="13" t="n">
        <v>82</v>
      </c>
      <c r="E61" s="15" t="inlineStr">
        <is>
          <t>Frankfurt am Main</t>
        </is>
      </c>
      <c r="F61" s="15" t="inlineStr">
        <is>
          <t>Deutschland</t>
        </is>
      </c>
      <c r="G61" s="15" t="inlineStr">
        <is>
          <t>VC (regional verankert, u.a. mit Beteiligung der Länder Hessen, Rheinland-Pfalz, Saarland und KfW Capital)</t>
        </is>
      </c>
      <c r="H61" s="16" t="inlineStr">
        <is>
          <t>Seed und Series A, selektiv bis Growth über einen zweiten Fonds</t>
        </is>
      </c>
      <c r="I61" s="15" t="inlineStr">
        <is>
          <t>Teilweise - tritt sowohl als Lead als auch als Co-Investor in Frühphasenrunden auf</t>
        </is>
      </c>
      <c r="J61" s="16" t="inlineStr">
        <is>
          <t>ca. 500 Tsd. bis 8 Mio. EUR durchschnittliche Checkgröße</t>
        </is>
      </c>
      <c r="K61" s="16" t="inlineStr">
        <is>
          <t>Futury Fund III mit 47 Mio. EUR (2024, überzeichnet); zusätzlich ein Growth-Fonds; über 39 Investments</t>
        </is>
      </c>
      <c r="L61" s="18" t="inlineStr">
        <is>
          <t>Ja</t>
        </is>
      </c>
      <c r="M61" s="16" t="inlineStr">
        <is>
          <t>Vier explizite Fokusfelder: Robotics (Automatisierung in Produktion und Logistik), Green Tech, Data &amp; AI ('intelligente Technologien für datengetriebene Wertschöpfung') und Photonics. Deutsche und internationale Tech-Unternehmen von Seed bis Growth.</t>
        </is>
      </c>
      <c r="N61" s="16" t="inlineStr">
        <is>
          <t>PROCURE AI (KI für Einkauf), Tvarit (Industrial AI/Machine Learning für Fertigung), Aaron.ai (Sprach-KI), BITA (Daten- und Index-Infrastruktur), embold (Code-Analyse), Pixel Photonics</t>
        </is>
      </c>
      <c r="O61" s="16" t="inlineStr">
        <is>
          <t>Hoch: 'Data &amp; AI' ist eines von vier offiziellen Investmentfeldern, und Investments wie Tvarit (Industrial ML) und BITA (Datenprodukte) belegen praktisches Verständnis für Datenwertschöpfung. Ein direktes Labeling-Investment ist nicht belegt.</t>
        </is>
      </c>
      <c r="P61" s="16" t="inlineStr">
        <is>
          <t>-</t>
        </is>
      </c>
      <c r="Q61" s="16" t="inlineStr">
        <is>
          <t>n/a (siebenköpfiges Kernteam; Zuordnung einzelner Partner zum Feld Data &amp; AI auf der Website nicht ausgewiesen)</t>
        </is>
      </c>
      <c r="R61" s="16" t="inlineStr">
        <is>
          <t>n/a</t>
        </is>
      </c>
      <c r="S61" s="16" t="inlineStr">
        <is>
          <t>n/a</t>
        </is>
      </c>
      <c r="T61" s="16" t="inlineStr">
        <is>
          <t>info@futurycapital.vc ; Paul-Ehrlich-Str. 51, 60596 Frankfurt am Main</t>
        </is>
      </c>
      <c r="U61" s="16" t="inlineStr">
        <is>
          <t>Futury Capital führt 'Data &amp; AI' als eines von nur vier offiziellen Fokusfeldern, investiert in Seed und Series A mit passenden Checks von 500 Tsd. bis 8 Mio. EUR und hat mit Tvarit und PROCURE AI belegte AI-Investments in Deutschland.</t>
        </is>
      </c>
      <c r="V61" s="16" t="inlineStr">
        <is>
          <t>Fonds III mit 47 Mio. EUR ist vergleichsweise klein, was Follow-on-Kapazität begrenzt; regionale Ausrichtung auf Hessen, Rheinland-Pfalz und Saarland könnte bei Standorten außerhalb dieser Region ein Kriterium sein. Kein namentlich zuordenbarer Data-/AI-Partner öffentlich.</t>
        </is>
      </c>
      <c r="W61" s="16" t="inlineStr">
        <is>
          <t>Direkt an info@futurycapital.vc mit Bezug auf das Fokusfeld 'Data &amp; AI' und den Industrial-ML-Case Tvarit: PathWize liefert die Human-in-the-Loop-Trainingsdaten, die genau diese Portfolio-These skalierbar macht.</t>
        </is>
      </c>
      <c r="X61" s="18" t="n">
        <v>26</v>
      </c>
      <c r="Y61" s="18" t="n">
        <v>25</v>
      </c>
      <c r="Z61" s="18" t="n">
        <v>14</v>
      </c>
      <c r="AA61" s="18" t="n">
        <v>7</v>
      </c>
      <c r="AB61" s="18" t="n">
        <v>10</v>
      </c>
      <c r="AC61" s="18" t="inlineStr">
        <is>
          <t>Hoch</t>
        </is>
      </c>
      <c r="AD61" s="15" t="inlineStr">
        <is>
          <t>Bestandsliste</t>
        </is>
      </c>
      <c r="AE61" s="16" t="inlineStr">
        <is>
          <t>https://futurycapital.vc/</t>
        </is>
      </c>
      <c r="AF61" s="16" t="inlineStr">
        <is>
          <t>https://futurycapital.vc/en/, https://hub.waveup.com/funds/futury-capital, https://superscout.co/investor/futury-capital, https://www.crunchbase.com/organization/futury-ventures, https://www.centerofstartups.de/companies/futury_capital</t>
        </is>
      </c>
    </row>
    <row r="62">
      <c r="A62" s="12" t="n">
        <v>58</v>
      </c>
      <c r="B62" s="14" t="inlineStr">
        <is>
          <t>LBBW Venture Capital</t>
        </is>
      </c>
      <c r="C62" s="13" t="inlineStr">
        <is>
          <t>A</t>
        </is>
      </c>
      <c r="D62" s="13" t="n">
        <v>82</v>
      </c>
      <c r="E62" s="15" t="inlineStr">
        <is>
          <t>Stuttgart (Koenigstrasse 10 C, 70173)</t>
        </is>
      </c>
      <c r="F62" s="15" t="inlineStr">
        <is>
          <t>Deutschland</t>
        </is>
      </c>
      <c r="G62" s="15" t="inlineStr">
        <is>
          <t>Corporate VC (eigenstaendige Tochter der Landesbank Baden-Wuerttemberg, gegruendet 1998)</t>
        </is>
      </c>
      <c r="H62" s="16" t="inlineStr">
        <is>
          <t>Seed und Series A</t>
        </is>
      </c>
      <c r="I62" s="15" t="inlineStr">
        <is>
          <t>Ja, beteiligt sich als Lead oder Co-Lead an Fruehphasenrunden</t>
        </is>
      </c>
      <c r="J62" s="16" t="inlineStr">
        <is>
          <t>Erstticket bis zu 3 Mio. EUR</t>
        </is>
      </c>
      <c r="K62" s="16" t="inlineStr">
        <is>
          <t>n/a explizit; ueber 60 bis 85 Portfoliounternehmen im Bestand</t>
        </is>
      </c>
      <c r="L62" s="18" t="inlineStr">
        <is>
          <t>Ja</t>
        </is>
      </c>
      <c r="M62" s="16" t="inlineStr">
        <is>
          <t>Drei Bereiche: Digital Transformation (Enterprise IT, IoT, Industrie 4.0, AI/ML, Big Data &amp; Analytics), Life Science/HealthTech und Financial Technology. Softwaregetriebene Ansaetze in industriellen Sektoren stehen im Zentrum.</t>
        </is>
      </c>
      <c r="N62" s="16" t="inlineStr">
        <is>
          <t>AI/ML sowie Big Data &amp; Analytics sind explizit ausgeschriebene Investmentfelder des Tech-Teams; konkrete Labeling-/MLOps-Beteiligungen n/a.</t>
        </is>
      </c>
      <c r="O62" s="16" t="inlineStr">
        <is>
          <t>Hoch auf Thesenebene: "AI/ML, Big Data &amp; Analytics" ist woertlich Teil des Mandats; Portfolio-Nachweis fuer Annotation/Labeling konnte nicht belegt werden.</t>
        </is>
      </c>
      <c r="P62" s="16" t="inlineStr">
        <is>
          <t>Data-Infra-nah</t>
        </is>
      </c>
      <c r="Q62" s="16" t="inlineStr">
        <is>
          <t>n/a (Tech-Team, Namen nicht auf der Website belegt)</t>
        </is>
      </c>
      <c r="R62" s="16" t="inlineStr">
        <is>
          <t>n/a</t>
        </is>
      </c>
      <c r="S62" s="16" t="inlineStr">
        <is>
          <t>n/a</t>
        </is>
      </c>
      <c r="T62" s="16" t="inlineStr">
        <is>
          <t>future@lbbwvc.de</t>
        </is>
      </c>
      <c r="U62" s="16" t="inlineStr">
        <is>
          <t>Seed-bis-Series-A-Mandat mit bis zu 3 Mio. EUR Erstticket und einer woertlich AI/ML-, Big-Data- und Analytics-basierten These im DACH-Raum - dazu ein direkt nutzbarer E-Mail-Kanal.</t>
        </is>
      </c>
      <c r="V62" s="16" t="inlineStr">
        <is>
          <t>Bankeigener Investor mit entsprechenden Compliance-Prozessen; kein explizit benannter Ansprechpartner fuer AI; konkrete AI-Portfolio-Namen nicht oeffentlich belegbar; Fondsvolumen intransparent.</t>
        </is>
      </c>
      <c r="W62" s="16" t="inlineStr">
        <is>
          <t>Direkte E-Mail an future@lbbwvc.de mit dem Industrie-4.0-Winkel: PathWize liefert annotierte Sensor- und Bilddaten fuer die Fertigungs- und Mittelstandskunden im LBBW-Umfeld.</t>
        </is>
      </c>
      <c r="X62" s="18" t="n">
        <v>27</v>
      </c>
      <c r="Y62" s="18" t="n">
        <v>24</v>
      </c>
      <c r="Z62" s="18" t="n">
        <v>13</v>
      </c>
      <c r="AA62" s="18" t="n">
        <v>8</v>
      </c>
      <c r="AB62" s="18" t="n">
        <v>10</v>
      </c>
      <c r="AC62" s="15" t="inlineStr">
        <is>
          <t>Mittel</t>
        </is>
      </c>
      <c r="AD62" s="15" t="inlineStr">
        <is>
          <t>Bestandsliste</t>
        </is>
      </c>
      <c r="AE62" s="16" t="inlineStr">
        <is>
          <t>https://www.lbbwvc.de/</t>
        </is>
      </c>
      <c r="AF62" s="16" t="inlineStr">
        <is>
          <t>https://www.lbbwvc.de/, https://superscout.co/investor/lbbw-venture-capital-gmbh, https://www.startbase.com/organization/lbbw-venture-capital-gmbh/, https://www.linkedin.com/company/lbbw-venture-capital-gmbh/</t>
        </is>
      </c>
    </row>
    <row r="63">
      <c r="A63" s="12" t="n">
        <v>59</v>
      </c>
      <c r="B63" s="14" t="inlineStr">
        <is>
          <t>Project A Ventures</t>
        </is>
      </c>
      <c r="C63" s="13" t="inlineStr">
        <is>
          <t>A</t>
        </is>
      </c>
      <c r="D63" s="13" t="n">
        <v>82</v>
      </c>
      <c r="E63" s="15" t="inlineStr">
        <is>
          <t>Berlin (+ London)</t>
        </is>
      </c>
      <c r="F63" s="18" t="inlineStr">
        <is>
          <t>DE</t>
        </is>
      </c>
      <c r="G63" s="15" t="inlineStr">
        <is>
          <t>VC mit Operator-Plattform (ca. 100 Operators)</t>
        </is>
      </c>
      <c r="H63" s="16" t="inlineStr">
        <is>
          <t>Pre-Seed und Seed, 15-20 Deals pro Jahr</t>
        </is>
      </c>
      <c r="I63" s="15" t="inlineStr">
        <is>
          <t>Ja - fuehrt Pre-Seed- und Seed-Runden regelmaessig an</t>
        </is>
      </c>
      <c r="J63" s="16" t="inlineStr">
        <is>
          <t>1 - 6 Mio. EUR Erstinvestment (Angaben bis 8 Mio. EUR kursieren)</t>
        </is>
      </c>
      <c r="K63" s="16" t="inlineStr">
        <is>
          <t>Fund V: 325 Mio. EUR (Jun 2025)</t>
        </is>
      </c>
      <c r="L63" s="18" t="inlineStr">
        <is>
          <t>Ja</t>
        </is>
      </c>
      <c r="M63" s="16" t="inlineStr">
        <is>
          <t>Vier Themen: European Resilience (Security/Sovereignty), Fintech, Future of Autonomous Work (intelligente Software und Re-Architektur des Unternehmens), Global Supply Chains - 'thematische Tiefe mit generalistischer Breite'</t>
        </is>
      </c>
      <c r="N63" s="16" t="inlineStr">
        <is>
          <t>11x (AI-Agenten/AI SDR), Quantum Systems, sennder, Trade Republic; ueber 30 weitere gelistete Companies</t>
        </is>
      </c>
      <c r="O63" s="16" t="inlineStr">
        <is>
          <t>Mittel - 'Future of Autonomous Work' und AI sind Kernthemen, ein dediziertes Data-Infra-/Labeling-Investment ist jedoch nicht belegbar</t>
        </is>
      </c>
      <c r="P63" s="16" t="inlineStr">
        <is>
          <t>-</t>
        </is>
      </c>
      <c r="Q63" s="16" t="inlineStr">
        <is>
          <t>Uwe Horstmann</t>
        </is>
      </c>
      <c r="R63" s="16" t="inlineStr">
        <is>
          <t>General Partner &amp; Co-Founder (weitere: Florian Heinemann, Anton Waitz, Ben Fischer)</t>
        </is>
      </c>
      <c r="S63" s="16" t="inlineStr">
        <is>
          <t>n/a</t>
        </is>
      </c>
      <c r="T63" s="16" t="inlineStr">
        <is>
          <t>https://www.project-a.vc/contact; zusaetzlich Project A Studio fuer sehr fruehe Ideen</t>
        </is>
      </c>
      <c r="U63" s="16" t="inlineStr">
        <is>
          <t>Perfekter Stage- und Geo-Fit: Berliner Pre-Seed/Seed-Lead mit frischem 325-Mio.-EUR-Fonds, 1-6 Mio. EUR Tickets und einer Operator-Plattform, die Data-Ops-Themen operativ versteht.</t>
        </is>
      </c>
      <c r="V63" s="16" t="inlineStr">
        <is>
          <t>Kein belegbares Data-Infra-/Annotation-Investment; thematischer Schwerpunkt zuletzt stark auf Defence/European Resilience verschoben; hoher Deal-Flow bedeutet starken Wettbewerb um Aufmerksamkeit</t>
        </is>
      </c>
      <c r="W63" s="16" t="inlineStr">
        <is>
          <t>Unter 'Future of Autonomous Work' framen: ohne saubere Human-in-the-loop-Trainingsdaten skaliert kein AI-Agent - PathWize ist die Qualitaetsschicht darunter.</t>
        </is>
      </c>
      <c r="X63" s="18" t="n">
        <v>30</v>
      </c>
      <c r="Y63" s="18" t="n">
        <v>22</v>
      </c>
      <c r="Z63" s="18" t="n">
        <v>10</v>
      </c>
      <c r="AA63" s="18" t="n">
        <v>10</v>
      </c>
      <c r="AB63" s="18" t="n">
        <v>10</v>
      </c>
      <c r="AC63" s="18" t="inlineStr">
        <is>
          <t>Hoch</t>
        </is>
      </c>
      <c r="AD63" s="15" t="inlineStr">
        <is>
          <t>Bestandsliste</t>
        </is>
      </c>
      <c r="AE63" s="16" t="inlineStr">
        <is>
          <t>https://www.project-a.vc/ (frueher project-a.com)</t>
        </is>
      </c>
      <c r="AF63" s="16" t="inlineStr">
        <is>
          <t>https://www.project-a.vc/, https://www.project-a.vc/contact, https://pitchbook.com/profiles/investor/54588-07</t>
        </is>
      </c>
    </row>
    <row r="64">
      <c r="A64" s="12" t="n">
        <v>60</v>
      </c>
      <c r="B64" s="14" t="inlineStr">
        <is>
          <t>Smart Infrastructure Ventures GmbH</t>
        </is>
      </c>
      <c r="C64" s="13" t="inlineStr">
        <is>
          <t>A</t>
        </is>
      </c>
      <c r="D64" s="13" t="n">
        <v>82</v>
      </c>
      <c r="E64" s="15" t="inlineStr">
        <is>
          <t>Leipzig (Baumwollspinnerei)</t>
        </is>
      </c>
      <c r="F64" s="18" t="inlineStr">
        <is>
          <t>DE</t>
        </is>
      </c>
      <c r="G64" s="18" t="inlineStr">
        <is>
          <t>VC</t>
        </is>
      </c>
      <c r="H64" s="16" t="inlineStr">
        <is>
          <t>Pre-Seed und Seed</t>
        </is>
      </c>
      <c r="I64" s="15" t="inlineStr">
        <is>
          <t>Teilweise (haeufig Co-Lead bzw. Syndikatspartner, Ticket zu klein fuer alleinigen Lead groesserer Runden)</t>
        </is>
      </c>
      <c r="J64" s="16" t="inlineStr">
        <is>
          <t>bis EUR 500k Erstinvestment, Follow-on moeglich</t>
        </is>
      </c>
      <c r="K64" s="16" t="inlineStr">
        <is>
          <t>SIVentures II mit EUR 30 Mio. (Launch August 2025), Ziel ca. 30 Teams; Fonds I mit ca. 30 Investments, Exits u.a. Mementor und Preventio</t>
        </is>
      </c>
      <c r="L64" s="18" t="inlineStr">
        <is>
          <t>Ja</t>
        </is>
      </c>
      <c r="M64" s="16" t="inlineStr">
        <is>
          <t>Fruehphasige B2B-Technologie im DACH-Raum mit Schwerpunkt KI, IT-Infrastruktur und Energie; historisch zusaetzlich Cybersecurity, PropTech, Smart City und eHealth</t>
        </is>
      </c>
      <c r="N64" s="16" t="inlineStr">
        <is>
          <t>traide AI (KI-gestuetzte Zolltarifierung, Berlin), Enginsight (Cybersecurity-Automatisierung, Jena), Mainteny (SaaS fuer Wartungsmanagement), ifesca-nahes Umfeld im Energie-KI-Bereich</t>
        </is>
      </c>
      <c r="O64" s="16" t="inlineStr">
        <is>
          <t>Hoch nach These, mittel nach Belegen: KI und IT-Infrastruktur sind ausdrueckliche Fondsschwerpunkte, aber es gibt kein belegtes Labeling-/MLOps-Investment</t>
        </is>
      </c>
      <c r="P64" s="16" t="inlineStr">
        <is>
          <t>-</t>
        </is>
      </c>
      <c r="Q64" s="16" t="inlineStr">
        <is>
          <t>Bjoern Bauermeister</t>
        </is>
      </c>
      <c r="R64" s="16" t="inlineStr">
        <is>
          <t>Co-Founder &amp; General Partner (zweiter Co-Founder &amp; General Partner: Dirk Daniel Frohnert)</t>
        </is>
      </c>
      <c r="S64" s="16" t="inlineStr">
        <is>
          <t>n/a (Crunchbase-Profil: https://www.crunchbase.com/person/bj%C3%B6rn-bauermeister)</t>
        </is>
      </c>
      <c r="T64" s="16" t="inlineStr">
        <is>
          <t>Kontakt ueber https://siventures.de/ ; Firmenmail-Schema @smartinfrastructure.ventures</t>
        </is>
      </c>
      <c r="U64" s="16" t="inlineStr">
        <is>
          <t>SIVentures II wurde im August 2025 explizit fuer KI, IT-Infrastruktur und Energie im DACH-Raum aufgelegt, investiert Pre-Seed/Seed und hat frisches Dry Powder - thesenseitig eine der direktesten Passungen der Batch.</t>
        </is>
      </c>
      <c r="V64" s="16" t="inlineStr">
        <is>
          <t>Ticket von maximal EUR 500k ist fuer eine groessere Seed-Runde zu klein, PathWize braucht ein Syndikat; regionaler Schwerpunkt Ostdeutschland/Leipzig; kleines Team</t>
        </is>
      </c>
      <c r="W64" s="16" t="inlineStr">
        <is>
          <t>Auf die SIVentures-II-These 'KI und IT-Infrastruktur in DACH' referenzieren und PathWize als die Datenschicht positionieren, die Portfoliofaelle wie traide AI ueberhaupt erst trainierbar macht.</t>
        </is>
      </c>
      <c r="X64" s="18" t="n">
        <v>28</v>
      </c>
      <c r="Y64" s="18" t="n">
        <v>24</v>
      </c>
      <c r="Z64" s="18" t="n">
        <v>12</v>
      </c>
      <c r="AA64" s="18" t="n">
        <v>8</v>
      </c>
      <c r="AB64" s="18" t="n">
        <v>10</v>
      </c>
      <c r="AC64" s="15" t="inlineStr">
        <is>
          <t>Mittel</t>
        </is>
      </c>
      <c r="AD64" s="15" t="inlineStr">
        <is>
          <t>Bestandsliste</t>
        </is>
      </c>
      <c r="AE64" s="16" t="inlineStr">
        <is>
          <t>https://siventures.de/</t>
        </is>
      </c>
      <c r="AF64" s="16" t="inlineStr">
        <is>
          <t>https://siventures.de/, https://www.eu-startups.com/2025/08/german-vc-fund-smart-infrastructure-ventures-launches-e30-million-siventures-ii-fund-to-support-early-stage-startups/, https://tech.eu/2025/08/05/smart-infrastructure-ventures-launches-eur30m-siventures-ii-fund/, https://www.spinlab.co/news/siventures-ii-launch, https://www.crunchbase.com/organization/smart-infrastructure-ventures</t>
        </is>
      </c>
    </row>
    <row r="65">
      <c r="A65" s="12" t="n">
        <v>61</v>
      </c>
      <c r="B65" s="14" t="inlineStr">
        <is>
          <t>xdeck</t>
        </is>
      </c>
      <c r="C65" s="13" t="inlineStr">
        <is>
          <t>A</t>
        </is>
      </c>
      <c r="D65" s="13" t="n">
        <v>82</v>
      </c>
      <c r="E65" s="15" t="inlineStr">
        <is>
          <t>Koeln (THE SHIP)</t>
        </is>
      </c>
      <c r="F65" s="18" t="inlineStr">
        <is>
          <t>DE</t>
        </is>
      </c>
      <c r="G65" s="15" t="inlineStr">
        <is>
          <t>Accelerator (equity-frei) + angeschlossener VC-Fonds (xdeck.vc, seit 2021)</t>
        </is>
      </c>
      <c r="H65" s="16" t="inlineStr">
        <is>
          <t>Pre-Seed und Seed (Wandeldarlehen oder priced rounds); Accelerator-Batches (Batch #14 Start Sept. 2026)</t>
        </is>
      </c>
      <c r="I65" s="15" t="inlineStr">
        <is>
          <t>Selten - meist Co-Investor/Erstticket neben groesseren Leads</t>
        </is>
      </c>
      <c r="J65" s="16" t="inlineStr">
        <is>
          <t>200 Tsd. - 500 Tsd. EUR Erstinvestment</t>
        </is>
      </c>
      <c r="K65" s="16" t="inlineStr">
        <is>
          <t>n/a (nicht oeffentlich ausgewiesen)</t>
        </is>
      </c>
      <c r="L65" s="18" t="inlineStr">
        <is>
          <t>Ja</t>
        </is>
      </c>
      <c r="M65" s="16" t="inlineStr">
        <is>
          <t>Europaeische B2B-Tech-Unternehmen mit Fokus Prozessautomatisierung, applied Big Data / Artificial Intelligence und Sustainability Tech; 'von Gruendern fuer Gruender'</t>
        </is>
      </c>
      <c r="N65" s="16" t="inlineStr">
        <is>
          <t>Kern AI (data-centric NLP/AI-Plattform), orq.ai (LLM-Ops/Generative-AI-Plattform), Floy (Medical AI), Scavenger, Omniscient, Experial, ContractHero; insgesamt ca. 25 Companies</t>
        </is>
      </c>
      <c r="O65" s="16" t="inlineStr">
        <is>
          <t>Mittel-Hoch - 'applied big data/AI' ist eine der drei Kernthesen, mit Kern AI und orq.ai existieren datennahe AI-Beteiligungen; Ticketgroesse jedoch klein</t>
        </is>
      </c>
      <c r="P65" s="16" t="inlineStr">
        <is>
          <t>-</t>
        </is>
      </c>
      <c r="Q65" s="16" t="inlineStr">
        <is>
          <t>Oliver Steinki</t>
        </is>
      </c>
      <c r="R65" s="16" t="inlineStr">
        <is>
          <t>Founding Partner</t>
        </is>
      </c>
      <c r="S65" s="16" t="inlineStr">
        <is>
          <t>n/a</t>
        </is>
      </c>
      <c r="T65" s="16" t="inlineStr">
        <is>
          <t>hello@xdeck.de; Bewerbung ueber https://xdeck.ac/ (Accelerator-Batch), LinkedIn: linkedin.com/company/xdeck</t>
        </is>
      </c>
      <c r="U65" s="16" t="inlineStr">
        <is>
          <t>'Applied Big Data / AI' und B2B-Prozessautomatisierung sind wortwoertlich die xdeck-These, und mit Kern AI sitzt bereits eine data-centric-AI-Company im Portfolio - passender Pre-Seed-Einstieg im deutschen Markt.</t>
        </is>
      </c>
      <c r="V65" s="16" t="inlineStr">
        <is>
          <t>Kleiner, nicht offengelegter Fonds; Tickets von 200-500 Tsd. EUR reichen fuer eine echte Seed-Runde nicht als Lead; Accelerator-Route bindet Zeit</t>
        </is>
      </c>
      <c r="W65" s="16" t="inlineStr">
        <is>
          <t>Ueber Kern AI positionieren: PathWize liefert die Human-in-the-loop-Labelingschicht, die data-centric-AI-Portfolios wie Kern AI und orq.ai operativ brauchen.</t>
        </is>
      </c>
      <c r="X65" s="18" t="n">
        <v>25</v>
      </c>
      <c r="Y65" s="18" t="n">
        <v>26</v>
      </c>
      <c r="Z65" s="18" t="n">
        <v>14</v>
      </c>
      <c r="AA65" s="18" t="n">
        <v>7</v>
      </c>
      <c r="AB65" s="18" t="n">
        <v>10</v>
      </c>
      <c r="AC65" s="15" t="inlineStr">
        <is>
          <t>Mittel</t>
        </is>
      </c>
      <c r="AD65" s="15" t="inlineStr">
        <is>
          <t>Bestandsliste</t>
        </is>
      </c>
      <c r="AE65" s="16" t="inlineStr">
        <is>
          <t>https://xdeck.vc/ (Accelerator: https://xdeck.ac/, Dach: https://xdeck.de/)</t>
        </is>
      </c>
      <c r="AF65" s="16" t="inlineStr">
        <is>
          <t>https://xdeck.vc/, https://xdeck.ac/, https://xdeck.de/, https://www.startbase.com/organization/xdeck/, https://www.accelerate.nrw/accelerator-programm/xdeck</t>
        </is>
      </c>
    </row>
    <row r="66">
      <c r="A66" s="12" t="n">
        <v>62</v>
      </c>
      <c r="B66" s="14" t="inlineStr">
        <is>
          <t>APEX Ventures</t>
        </is>
      </c>
      <c r="C66" s="13" t="inlineStr">
        <is>
          <t>A</t>
        </is>
      </c>
      <c r="D66" s="13" t="n">
        <v>81</v>
      </c>
      <c r="E66" s="18" t="inlineStr">
        <is>
          <t>Wien</t>
        </is>
      </c>
      <c r="F66" s="15" t="inlineStr">
        <is>
          <t>Oesterreich</t>
        </is>
      </c>
      <c r="G66" s="18" t="inlineStr">
        <is>
          <t>VC</t>
        </is>
      </c>
      <c r="H66" s="16" t="inlineStr">
        <is>
          <t>Seed &amp; Series A (fruehe Deep-Tech-Runden)</t>
        </is>
      </c>
      <c r="I66" s="18" t="inlineStr">
        <is>
          <t>Ja</t>
        </is>
      </c>
      <c r="J66" s="16" t="inlineStr">
        <is>
          <t>1 bis 1,5 Mio. EUR im Amadeus-APEX-Fonds; ueber alle Vehikel 500 Tsd. bis 5 Mio. EUR</t>
        </is>
      </c>
      <c r="K66" s="16" t="inlineStr">
        <is>
          <t>Amadeus x APEX Technology Fund mit 80 Mio. EUR Zielvolumen (28 Mio. EUR First Close 2023); aktueller Stand n/a</t>
        </is>
      </c>
      <c r="L66" s="18" t="inlineStr">
        <is>
          <t>Ja</t>
        </is>
      </c>
      <c r="M66" s="16" t="inlineStr">
        <is>
          <t>Deep Tech in Europa mit DACH-Schwerpunkt: AI/ML, Quantum Computing &amp; Photonik, Automation &amp; Robotik, Computer Vision, Space Tech, MedTech</t>
        </is>
      </c>
      <c r="N66" s="16" t="inlineStr">
        <is>
          <t>Mobius Labs (Computer-Vision-SDKs, Modell-Quantisierung fuer Edge Devices), contextflow (Medical-Imaging-AI), ImageBiopsy Lab (radiologische Bildanalyse); ca. 51 Portfolio-Companies</t>
        </is>
      </c>
      <c r="O66" s="16" t="inlineStr">
        <is>
          <t>Hoch - Computer Vision und Medical Imaging sind die annotationsintensivsten AI-Domaenen ueberhaupt; der Fonds versteht den Bedarf aus erster Hand</t>
        </is>
      </c>
      <c r="P66" s="16" t="inlineStr">
        <is>
          <t>-</t>
        </is>
      </c>
      <c r="Q66" s="16" t="inlineStr">
        <is>
          <t>Andreas Riegler</t>
        </is>
      </c>
      <c r="R66" s="16" t="inlineStr">
        <is>
          <t>Founder &amp; General Partner (Schwerpunkt AI und Space Tech)</t>
        </is>
      </c>
      <c r="S66" s="16" t="inlineStr">
        <is>
          <t>https://at.linkedin.com/in/andreasriegler</t>
        </is>
      </c>
      <c r="T66" s="16" t="inlineStr">
        <is>
          <t>Kontaktformular auf https://www.apex.ventures/; LinkedIn https://www.linkedin.com/company/apex-vc</t>
        </is>
      </c>
      <c r="U66" s="16" t="inlineStr">
        <is>
          <t>DACH-Deep-Tech-Fonds mit AI/ML und Computer Vision als expliziten Kernthemen und mit Mobius Labs, contextflow und ImageBiopsy Lab gleich drei annotationsabhaengigen Portfolio-Companies. Seed-/Series-A-Tickets von 1-1,5 Mio. EUR passen zur gesuchten Runde.</t>
        </is>
      </c>
      <c r="V66" s="16" t="inlineStr">
        <is>
          <t>Aktueller Fondsstatus und Dry Powder oeffentlich nicht belegbar (letzte harte Zahl ist der First Close 2023); Portfolio stark hardware- und medtech-lastig, reine Softwaredienstleistungen eher untypisch</t>
        </is>
      </c>
      <c r="W66" s="16" t="inlineStr">
        <is>
          <t>Direkt ueber Mobius Labs und contextflow argumentieren: PathWize loest den Annotationsengpass, an dem genau diese Computer-Vision-Portfolio-Companies skalieren muessen.</t>
        </is>
      </c>
      <c r="X66" s="18" t="n">
        <v>27</v>
      </c>
      <c r="Y66" s="18" t="n">
        <v>24</v>
      </c>
      <c r="Z66" s="18" t="n">
        <v>14</v>
      </c>
      <c r="AA66" s="18" t="n">
        <v>7</v>
      </c>
      <c r="AB66" s="18" t="n">
        <v>9</v>
      </c>
      <c r="AC66" s="15" t="inlineStr">
        <is>
          <t>Mittel</t>
        </is>
      </c>
      <c r="AD66" s="15" t="inlineStr">
        <is>
          <t>Bestandsliste</t>
        </is>
      </c>
      <c r="AE66" s="16" t="inlineStr">
        <is>
          <t>https://www.apex.ventures/</t>
        </is>
      </c>
      <c r="AF66" s="16" t="inlineStr">
        <is>
          <t>https://www.apex.ventures/, https://www.apex.ventures/project/mobius-labs/, https://www.amadeuscapital.com/amadeus-capital-partners-and-apex-ventures-join-forces-to-invest-in-european-deep-tech-partnership/, https://hello-tomorrow.org/discover-apex-ventures-with-founder-general-partner-andreas-riegler/, https://tracxn.com/d/venture-capital/apex-ventures/__OkcgFj5vDtMJ-v0XWpO4aNJqrrn0HvXZWZXjEVReyow</t>
        </is>
      </c>
    </row>
    <row r="67">
      <c r="A67" s="12" t="n">
        <v>63</v>
      </c>
      <c r="B67" s="14" t="inlineStr">
        <is>
          <t>Concept Ventures</t>
        </is>
      </c>
      <c r="C67" s="13" t="inlineStr">
        <is>
          <t>A</t>
        </is>
      </c>
      <c r="D67" s="13" t="n">
        <v>81</v>
      </c>
      <c r="E67" s="15" t="inlineStr">
        <is>
          <t>London</t>
        </is>
      </c>
      <c r="F67" s="18" t="inlineStr">
        <is>
          <t>UK</t>
        </is>
      </c>
      <c r="G67" s="15" t="inlineStr">
        <is>
          <t>VC (dedizierter Pre-Seed-Fonds)</t>
        </is>
      </c>
      <c r="H67" s="16" t="inlineStr">
        <is>
          <t>Ausschliesslich Pre-Seed - in der Regel der erste institutionelle Check</t>
        </is>
      </c>
      <c r="I67" s="15" t="inlineStr">
        <is>
          <t>Ja - fuehrt nach eigenen Angaben ueber 90 Prozent der Runden an</t>
        </is>
      </c>
      <c r="J67" s="16" t="inlineStr">
        <is>
          <t>durchschnittlich ca. 1 Mio. USD, bis 1,2 Mio. GBP</t>
        </is>
      </c>
      <c r="K67" s="16" t="inlineStr">
        <is>
          <t>Fund II 88 Mio. USD / 70 Mio. GBP / 75 Mio. EUR (Sep 2025) - groesster dedizierter Pre-Seed-Fonds Europas; Ziel ca. 50 Investments ueber vier Jahre</t>
        </is>
      </c>
      <c r="L67" s="18" t="inlineStr">
        <is>
          <t>Ja</t>
        </is>
      </c>
      <c r="M67" s="16" t="inlineStr">
        <is>
          <t>Sektoragnostisch mit erklaerten Schwerpunkten Artificial Intelligence, Defence, Consumer und Fintech; sucht 'exceptional founders with global ambitions'</t>
        </is>
      </c>
      <c r="N67" s="16" t="inlineStr">
        <is>
          <t>ElevenLabs (Pre-Seed), Anam (AI-Avatare), Dex, Arondite (Defence AI); Fund-I-Companies haben zusammen ueber 450 Mio. USD eingesammelt</t>
        </is>
      </c>
      <c r="O67" s="16" t="inlineStr">
        <is>
          <t>Mittel - AI ist explizites Schwerpunktthema mit starkem Track Record, aber ohne Data-Infra-/Annotation-Spezialisierung</t>
        </is>
      </c>
      <c r="P67" s="16" t="inlineStr">
        <is>
          <t>-</t>
        </is>
      </c>
      <c r="Q67" s="16" t="inlineStr">
        <is>
          <t>Oliver Kicks</t>
        </is>
      </c>
      <c r="R67" s="16" t="inlineStr">
        <is>
          <t>General Partner (Fokus AI, Marketplaces, Games; erster Mitarbeiter der Firma)</t>
        </is>
      </c>
      <c r="S67" s="16" t="inlineStr">
        <is>
          <t>n/a (Profil: https://signal.nfx.com/investors/oliver-kicks)</t>
        </is>
      </c>
      <c r="T67" s="16" t="inlineStr">
        <is>
          <t>Kontakt/Pitch ueber https://concept.vc/</t>
        </is>
      </c>
      <c r="U67" s="16" t="inlineStr">
        <is>
          <t>Frischer 88-Mio.-USD-Pre-Seed-Fonds, der ueber 90 Prozent seiner Runden anfuehrt, AI als Kernthema nennt und Deutschland ausdruecklich ins pan-europaeische Mandat von Fund II aufgenommen hat.</t>
        </is>
      </c>
      <c r="V67" s="16" t="inlineStr">
        <is>
          <t>Nur Pre-Seed - fuer eine Seed- oder Series-A-Runde nicht adressierbar; UK-first mit erst kurzer Historie ausserhalb Grossbritanniens; kein Data-Infra-Track-Record</t>
        </is>
      </c>
      <c r="W67" s="16" t="inlineStr">
        <is>
          <t>Als deutscher Pre-Seed-Testfall fuer das neue pan-europaeische Mandat positionieren, mit ElevenLabs als Beleg, dass Concept europaeische AI-Grundlagenwetten frueh trifft.</t>
        </is>
      </c>
      <c r="X67" s="18" t="n">
        <v>28</v>
      </c>
      <c r="Y67" s="18" t="n">
        <v>24</v>
      </c>
      <c r="Z67" s="18" t="n">
        <v>11</v>
      </c>
      <c r="AA67" s="18" t="n">
        <v>10</v>
      </c>
      <c r="AB67" s="18" t="n">
        <v>8</v>
      </c>
      <c r="AC67" s="18" t="inlineStr">
        <is>
          <t>Hoch</t>
        </is>
      </c>
      <c r="AD67" s="15" t="inlineStr">
        <is>
          <t>Bestandsliste</t>
        </is>
      </c>
      <c r="AE67" s="16" t="inlineStr">
        <is>
          <t>https://concept.vc/</t>
        </is>
      </c>
      <c r="AF67" s="16" t="inlineStr">
        <is>
          <t>https://concept.vc/, https://tech.eu/2025/09/30/concept-ventures-closes-88m-fund-ii-cementing-position-as-europes-largest-pre-seed-fund/, https://sifted.eu/articles/concept-ventures-raises-pre-seed-fund-88m, https://www.startupmag.co.uk/funding/concept-ventures-promotes-oliver-kicks-to-general-partner-closes-70m-fund-ii/, https://preseednow.com/p/concept-ventures-oliver-kicks</t>
        </is>
      </c>
    </row>
    <row r="68">
      <c r="A68" s="12" t="n">
        <v>64</v>
      </c>
      <c r="B68" s="14" t="inlineStr">
        <is>
          <t>Matterwave Ventures</t>
        </is>
      </c>
      <c r="C68" s="13" t="inlineStr">
        <is>
          <t>A</t>
        </is>
      </c>
      <c r="D68" s="13" t="n">
        <v>81</v>
      </c>
      <c r="E68" s="15" t="inlineStr">
        <is>
          <t>Muenchen</t>
        </is>
      </c>
      <c r="F68" s="15" t="inlineStr">
        <is>
          <t>Deutschland</t>
        </is>
      </c>
      <c r="G68" s="15" t="inlineStr">
        <is>
          <t>VC (Early Stage, Industrial/Deep Tech)</t>
        </is>
      </c>
      <c r="H68" s="16" t="inlineStr">
        <is>
          <t>Seed und Series A</t>
        </is>
      </c>
      <c r="I68" s="15" t="inlineStr">
        <is>
          <t>Ja (Board-Sitze in zahlreichen Portfolio-Companies, Lead-Investor-Rolle)</t>
        </is>
      </c>
      <c r="J68" s="16" t="inlineStr">
        <is>
          <t>EUR 1-4 Mio. Initial-Ticket (aeltere Quellen: ab EUR 0,5 Mio.)</t>
        </is>
      </c>
      <c r="K68" s="16" t="inlineStr">
        <is>
          <t>ca. EUR 250 Mio. AUM; Fonds II 'Matterwave Industrial Technologies II' mit EUR 75 Mio. First Close, Zielvolumen EUR 130 Mio. (LPs u.a. EIF, LfA Foerderbank Bayern, NRW.Bank)</t>
        </is>
      </c>
      <c r="L68" s="15" t="inlineStr">
        <is>
          <t>Teilweise</t>
        </is>
      </c>
      <c r="M68" s="16" t="inlineStr">
        <is>
          <t>Industrial Tech (digitale Transformation der Industrie), Deep Tech und Climate Tech / industrielle Dekarbonisierung; Hard- und Software fuer industrielle Wertschoepfungsketten. Spin-out des btov-Industrial-Technologies-Teams.</t>
        </is>
      </c>
      <c r="N68" s="16" t="inlineStr">
        <is>
          <t>Cybus ('the unified data layer for industrial operations'), Roseman Labs (Privacy-Preserving-Data-Collaboration), Ask for the Moon (AI-basiertes industrielles Wissensmanagement), LiveEO (Satellitendaten-Analytics/ML), Semalytix (NLP/Real-World-Data), Visplore (Data Analytics), ToolSense, Innerspace</t>
        </is>
      </c>
      <c r="O68" s="16" t="inlineStr">
        <is>
          <t>Hoch-mittel: Industrielle Computer-Vision- und Predictive-Maintenance-Portfolios brauchen annotierte Trainingsdaten; Cybus/Roseman Labs zeigen echtes Verstaendnis fuer Data-Infrastruktur-Geschaeftsmodelle.</t>
        </is>
      </c>
      <c r="P68" s="16" t="inlineStr">
        <is>
          <t>-</t>
        </is>
      </c>
      <c r="Q68" s="16" t="inlineStr">
        <is>
          <t>Benedikt Kronberger</t>
        </is>
      </c>
      <c r="R68" s="16" t="inlineStr">
        <is>
          <t>Founding Partner, Investmentfokus explizit Enterprise Software (Board u.a. bei Roseman Labs, Ninox, Testbirds, ToolSense, Visplore)</t>
        </is>
      </c>
      <c r="S68" s="16" t="inlineStr">
        <is>
          <t>n/a</t>
        </is>
      </c>
      <c r="T68" s="16" t="inlineStr">
        <is>
          <t>info@matterwave.vc, Pitch-Formular: https://www.matterwave.vc/pitch, Tel. +49 89 2867 3245</t>
        </is>
      </c>
      <c r="U68" s="16" t="inlineStr">
        <is>
          <t>Seed/Series-A-Lead-Investor aus Muenchen mit frischem Fonds II und einem Enterprise-Software-Partner, der bereits Data-Layer- und Privacy-Data-Companies (Cybus, Roseman Labs) im Board begleitet - PathWize passt als Data-Infrastruktur fuer industrielle AI.</t>
        </is>
      </c>
      <c r="V68" s="16" t="inlineStr">
        <is>
          <t>These ist industriell/deeptech geframed, nicht 'AI-first'; Climate-/Dekarbonisierungs-Anteil hoch; reines Software-Servicegeschaeft koennte als zu wenig 'Industrial' gelten.</t>
        </is>
      </c>
      <c r="W68" s="16" t="inlineStr">
        <is>
          <t>PathWize als 'Trainingsdaten-Layer fuer Industrial AI' positionieren - direkt anschlussfaehig an Cybus (Data Layer) und die Computer-Vision-Bedarfe im Matterwave-Portfolio.</t>
        </is>
      </c>
      <c r="X68" s="18" t="n">
        <v>28</v>
      </c>
      <c r="Y68" s="18" t="n">
        <v>19</v>
      </c>
      <c r="Z68" s="18" t="n">
        <v>15</v>
      </c>
      <c r="AA68" s="18" t="n">
        <v>9</v>
      </c>
      <c r="AB68" s="18" t="n">
        <v>10</v>
      </c>
      <c r="AC68" s="18" t="inlineStr">
        <is>
          <t>Hoch</t>
        </is>
      </c>
      <c r="AD68" s="15" t="inlineStr">
        <is>
          <t>Bestandsliste</t>
        </is>
      </c>
      <c r="AE68" s="16" t="inlineStr">
        <is>
          <t>https://www.matterwave.vc</t>
        </is>
      </c>
      <c r="AF68" s="16" t="inlineStr">
        <is>
          <t>https://www.matterwave.vc/, https://www.matterwave.vc/team, https://sifted.eu/articles/matterwave-75m-industrial-deeptech-fund-news, https://www.munich-startup.de/en/89905/matterwave-ventures-raises-75-million-for-industrial-tech-fund/</t>
        </is>
      </c>
    </row>
    <row r="69">
      <c r="A69" s="12" t="n">
        <v>65</v>
      </c>
      <c r="B69" s="14" t="inlineStr">
        <is>
          <t>Northzone</t>
        </is>
      </c>
      <c r="C69" s="13" t="inlineStr">
        <is>
          <t>A</t>
        </is>
      </c>
      <c r="D69" s="13" t="n">
        <v>81</v>
      </c>
      <c r="E69" s="15" t="inlineStr">
        <is>
          <t>London und Stockholm (weitere Büros: Berlin, Amsterdam, New York)</t>
        </is>
      </c>
      <c r="F69" s="15" t="inlineStr">
        <is>
          <t>Vereinigtes Königreich / Schweden</t>
        </is>
      </c>
      <c r="G69" s="15" t="inlineStr">
        <is>
          <t>VC (Multi-Stage, seit 1996)</t>
        </is>
      </c>
      <c r="H69" s="16" t="inlineStr">
        <is>
          <t>Seed bis Growth</t>
        </is>
      </c>
      <c r="I69" s="18" t="inlineStr">
        <is>
          <t>Ja</t>
        </is>
      </c>
      <c r="J69" s="16" t="inlineStr">
        <is>
          <t>n/a</t>
        </is>
      </c>
      <c r="K69" s="16" t="inlineStr">
        <is>
          <t>n/a (jüngster Flaggschiff-Fonds im hohen dreistelligen Mio.- bis Milliardenbereich; exakter Wert nicht über die Website verifiziert)</t>
        </is>
      </c>
      <c r="L69" s="18" t="inlineStr">
        <is>
          <t>Ja</t>
        </is>
      </c>
      <c r="M69" s="16" t="inlineStr">
        <is>
          <t>Multi-Stage-Generalist mit klarem Schwerpunkt auf 'category creators': AI/Foundation Models, Enterprise-Software, FinTech, Health, Marktplätze.</t>
        </is>
      </c>
      <c r="N69" s="16" t="inlineStr">
        <is>
          <t>Black Forest Labs (Freiburg, generative Bildmodelle), microagi (55 Mio. USD Seed, jüngst angekündigt), Blitzy, Xbow, Tandem Health, GC.AI, Cusp AI - alle auf der Website gelistet. Klassiker: Spotify, Klarna, Personio, Trustpilot.</t>
        </is>
      </c>
      <c r="O69" s="16" t="inlineStr">
        <is>
          <t>Hoch. Mit Black Forest Labs und microagi ist Northzone unmittelbar im europäischen Foundation-Model-Umfeld investiert - genau die Kundengruppe, die hochwertige, human-in-the-loop kuratierte Trainingsdaten benötigt.</t>
        </is>
      </c>
      <c r="P69" s="16" t="inlineStr">
        <is>
          <t>-</t>
        </is>
      </c>
      <c r="Q69" s="16" t="inlineStr">
        <is>
          <t>Michiel Kotting</t>
        </is>
      </c>
      <c r="R69" s="16" t="inlineStr">
        <is>
          <t>Partner (Amsterdam/Europa, Fokus Enterprise-Software; nicht in dieser Recherche über die Website verifiziert)</t>
        </is>
      </c>
      <c r="S69" s="16" t="inlineStr">
        <is>
          <t>n/a</t>
        </is>
      </c>
      <c r="T69" s="16" t="inlineStr">
        <is>
          <t>Über Team-/Kontaktseite auf https://northzone.com/</t>
        </is>
      </c>
      <c r="U69" s="16" t="inlineStr">
        <is>
          <t>Sehr aktiver Multi-Stage-Fonds mit Berliner Büro (direkter DACH-Zugang), starkem und aktuellem AI-Portfolio inklusive des deutschen Foundation-Model-Anbieters Black Forest Labs. Kann von Seed bis Growth begleiten und führt Runden an.</t>
        </is>
      </c>
      <c r="V69" s="16" t="inlineStr">
        <is>
          <t>Generalist ohne dedizierte Data-Infrastruktur-These - Labeling müsste als Plattform-/Kategoriewette erzählt werden. Pre-Seed eher untypisch. Fondsgröße erzeugt Druck auf große Outcomes, dienstleistungsnahe Margen könnten kritisch hinterfragt werden.</t>
        </is>
      </c>
      <c r="W69" s="16" t="inlineStr">
        <is>
          <t>Über das Berliner Büro ansprechen. Konkreter Aufhänger: Black Forest Labs und microagi als Referenz-Use-Case für kuratierte, rechtssichere europäische Trainingsdaten; PathWize als Zulieferer für das eigene Portfolio positionieren.</t>
        </is>
      </c>
      <c r="X69" s="18" t="n">
        <v>24</v>
      </c>
      <c r="Y69" s="18" t="n">
        <v>22</v>
      </c>
      <c r="Z69" s="18" t="n">
        <v>16</v>
      </c>
      <c r="AA69" s="18" t="n">
        <v>10</v>
      </c>
      <c r="AB69" s="18" t="n">
        <v>9</v>
      </c>
      <c r="AC69" s="15" t="inlineStr">
        <is>
          <t>Mittel</t>
        </is>
      </c>
      <c r="AD69" s="15" t="inlineStr">
        <is>
          <t>NEU – Recherche-Ergaenzung</t>
        </is>
      </c>
      <c r="AE69" s="16" t="inlineStr">
        <is>
          <t>https://northzone.com/</t>
        </is>
      </c>
      <c r="AF69" s="16" t="inlineStr">
        <is>
          <t>https://northzone.com/</t>
        </is>
      </c>
    </row>
    <row r="70">
      <c r="A70" s="12" t="n">
        <v>66</v>
      </c>
      <c r="B70" s="14" t="inlineStr">
        <is>
          <t>Signals Venture Capital</t>
        </is>
      </c>
      <c r="C70" s="13" t="inlineStr">
        <is>
          <t>A</t>
        </is>
      </c>
      <c r="D70" s="13" t="n">
        <v>81</v>
      </c>
      <c r="E70" s="15" t="inlineStr">
        <is>
          <t>Berlin</t>
        </is>
      </c>
      <c r="F70" s="18" t="inlineStr">
        <is>
          <t>DE</t>
        </is>
      </c>
      <c r="G70" s="15" t="inlineStr">
        <is>
          <t>VC (Corporate-nah, Ankerinvestor Signal Iduna)</t>
        </is>
      </c>
      <c r="H70" s="16" t="inlineStr">
        <is>
          <t>Seed und Series A (gelegentlich Series B Follow-on)</t>
        </is>
      </c>
      <c r="I70" s="15" t="inlineStr">
        <is>
          <t>Teilweise - haeufig Co-Lead in Seed-/Series-A-Runden</t>
        </is>
      </c>
      <c r="J70" s="16" t="inlineStr">
        <is>
          <t>1 - 5 Mio. EUR</t>
        </is>
      </c>
      <c r="K70" s="16" t="inlineStr">
        <is>
          <t>100 Mio. EUR</t>
        </is>
      </c>
      <c r="L70" s="18" t="inlineStr">
        <is>
          <t>Ja</t>
        </is>
      </c>
      <c r="M70" s="16" t="inlineStr">
        <is>
          <t>B2B-/Enterprise-Software in Europa mit explizitem Fokus auf Artificial Intelligence, Machine Learning und Enterprise Software; Randbereiche Health und Mobility</t>
        </is>
      </c>
      <c r="N70" s="16" t="inlineStr">
        <is>
          <t>Dreamdata (B2B-Revenue-Data-Plattform), Automation Hero (AI-Dokumentenautomatisierung), Monite, Intrro, Second Nature; ca. 24 Tech-/20 B2B-Software-Investments</t>
        </is>
      </c>
      <c r="O70" s="16" t="inlineStr">
        <is>
          <t>Mittel-Hoch - AI/ML ist als Investitionsfeld explizit benannt und das Portfolio ist konsequent B2B-Software/Datenprodukte, aber kein reines Labeling-Investment belegbar</t>
        </is>
      </c>
      <c r="P70" s="16" t="inlineStr">
        <is>
          <t>Data-Infra-nah</t>
        </is>
      </c>
      <c r="Q70" s="16" t="inlineStr">
        <is>
          <t>Christian Weniger</t>
        </is>
      </c>
      <c r="R70" s="16" t="inlineStr">
        <is>
          <t>General Partner (zweiter GP: Dr. Daniel Kirchleitner)</t>
        </is>
      </c>
      <c r="S70" s="16" t="inlineStr">
        <is>
          <t>n/a (Firmenprofil: https://www.linkedin.com/company/signals-vc/)</t>
        </is>
      </c>
      <c r="T70" s="16" t="inlineStr">
        <is>
          <t>Kontaktformular auf signals.vc; LinkedIn linkedin.com/company/signals-vc</t>
        </is>
      </c>
      <c r="U70" s="16" t="inlineStr">
        <is>
          <t>Die These deckt sich fast eins zu eins mit PathWize: Berliner Fonds, der explizit AI/ML und Enterprise Software mit 1-5 Mio. EUR im Seed und Series A finanziert.</t>
        </is>
      </c>
      <c r="V70" s="16" t="inlineStr">
        <is>
          <t>Erkennbar geringe Neuinvestitionsaktivitaet - letztes dokumentiertes Investment Okt 2025 (Second Nature), 2026 bisher keines; 100-Mio.-EUR-Fonds koennte weitgehend ausinvestiert sein; kein Pre-Seed</t>
        </is>
      </c>
      <c r="W70" s="16" t="inlineStr">
        <is>
          <t>Als B2B-Enterprise-Software-Case mit wiederkehrenden Umsaetzen pitchen und die Signal-Iduna-Naehe als Pilotkanal fuer Labeling in regulierten Versicherungs-/Finanzdaten nutzen.</t>
        </is>
      </c>
      <c r="X70" s="18" t="n">
        <v>26</v>
      </c>
      <c r="Y70" s="18" t="n">
        <v>28</v>
      </c>
      <c r="Z70" s="18" t="n">
        <v>12</v>
      </c>
      <c r="AA70" s="18" t="n">
        <v>5</v>
      </c>
      <c r="AB70" s="18" t="n">
        <v>10</v>
      </c>
      <c r="AC70" s="15" t="inlineStr">
        <is>
          <t>Mittel</t>
        </is>
      </c>
      <c r="AD70" s="15" t="inlineStr">
        <is>
          <t>Bestandsliste</t>
        </is>
      </c>
      <c r="AE70" s="16" t="inlineStr">
        <is>
          <t>https://www.signals.vc/</t>
        </is>
      </c>
      <c r="AF70" s="16" t="inlineStr">
        <is>
          <t>https://www.openvc.app/fund/Signals%20Venture%20Capital, https://tracxn.com/d/venture-capital/signals-venture-capital/__WYnSPvOm207Y6sraQnv6hj4V1OpYuZZ9MXoyjpEXSwM, https://www.crunchbase.com/organization/signals-vc, https://www.linkedin.com/company/signals-vc/</t>
        </is>
      </c>
    </row>
    <row r="71">
      <c r="A71" s="12" t="n">
        <v>67</v>
      </c>
      <c r="B71" s="14" t="inlineStr">
        <is>
          <t>IBB Ventures</t>
        </is>
      </c>
      <c r="C71" s="13" t="inlineStr">
        <is>
          <t>A</t>
        </is>
      </c>
      <c r="D71" s="13" t="n">
        <v>80</v>
      </c>
      <c r="E71" s="15" t="inlineStr">
        <is>
          <t>Berlin (Bundesallee 210, 10719)</t>
        </is>
      </c>
      <c r="F71" s="15" t="inlineStr">
        <is>
          <t>Deutschland</t>
        </is>
      </c>
      <c r="G71" s="15" t="inlineStr">
        <is>
          <t>VC (Public-Private, Investitionsbank Berlin + EFRE)</t>
        </is>
      </c>
      <c r="H71" s="16" t="inlineStr">
        <is>
          <t>Pre-Seed, Seed, Series A; zusaetzlich Fast-Lane-Programm B# fuer DeepTech-Gruender</t>
        </is>
      </c>
      <c r="I71" s="15" t="inlineStr">
        <is>
          <t>Ja bzw. Co-Lead in Berliner Seed-Runden, haeufig gemeinsam mit Business Angels und Seed-Fonds</t>
        </is>
      </c>
      <c r="J71" s="16" t="inlineStr">
        <is>
          <t>n/a explizit; typische Erst-Tickets im mittleren sechsstelligen bis niedrigen siebenstelligen Bereich</t>
        </is>
      </c>
      <c r="K71" s="16" t="inlineStr">
        <is>
          <t>ca. 120 Mio. EUR ueber drei aktuelle Fonds (VC Fonds Technologie III, VC Fonds Kreativwirtschaft III, VC Fonds Impact Berlin); ueber 350 finanzierte Startups</t>
        </is>
      </c>
      <c r="L71" s="18" t="inlineStr">
        <is>
          <t>Ja</t>
        </is>
      </c>
      <c r="M71" s="16" t="inlineStr">
        <is>
          <t>Drei Saeulen: Tech (Software &amp; IT, Industrial Tech, Healthcare), Creative (Consumer, D2C, Marken) und Impact. DeepTech und Unternehmen mit starkem digitalem Rueckgrat werden ausdruecklich adressiert, AI ist als Branchenfeld gelistet.</t>
        </is>
      </c>
      <c r="N71" s="16" t="inlineStr">
        <is>
          <t>Qdrant (Vektordatenbank, AI-Infrastruktur) als prominentestes Data-Infra-Investment; daneben zahlreiche Berliner Software-/SaaS-Beteiligungen.</t>
        </is>
      </c>
      <c r="O71" s="16" t="inlineStr">
        <is>
          <t>Hoch: Das Qdrant-Investment belegt konkretes Verstaendnis fuer AI-Infrastruktur und die Wertschoepfungskette rund um Trainings- und Embedding-Daten.</t>
        </is>
      </c>
      <c r="P71" s="16" t="inlineStr">
        <is>
          <t>Data-Infra-nah</t>
        </is>
      </c>
      <c r="Q71" s="16" t="inlineStr">
        <is>
          <t>n/a (Investment-Team auf der Website nicht namentlich gelistet)</t>
        </is>
      </c>
      <c r="R71" s="16" t="inlineStr">
        <is>
          <t>n/a</t>
        </is>
      </c>
      <c r="S71" s="16" t="inlineStr">
        <is>
          <t>n/a</t>
        </is>
      </c>
      <c r="T71" s="16" t="inlineStr">
        <is>
          <t>Bewerbung ueber "Get funded"-Portal auf ibbventures.de; zusaetzlich Office Hours via Typeform-Terminbuchung</t>
        </is>
      </c>
      <c r="U71" s="16" t="inlineStr">
        <is>
          <t>Einer der aktivsten Berliner Pre-Seed-/Seed-Investoren mit belegtem AI-Infrastruktur-Investment (Qdrant) und offenem, niedrigschwelligem Zugang ueber Office Hours - ideal fuer eine deutsche Pre-Seed-/Seed-Runde.</t>
        </is>
      </c>
      <c r="V71" s="16" t="inlineStr">
        <is>
          <t>Foerdermandat verlangt in der Regel Unternehmenssitz bzw. Betriebsstaette in Berlin; investiert selten allein als alleiniger Lead; EFRE-Reporting-Auflagen.</t>
        </is>
      </c>
      <c r="W71" s="16" t="inlineStr">
        <is>
          <t>Office Hours buchen und PathWize als Human-in-the-loop-Ergaenzung zum bestehenden AI-Infra-Investment Qdrant positionieren - gleiche Kaeuferzielgruppe, komplementaerer Layer im Berliner AI-Stack.</t>
        </is>
      </c>
      <c r="X71" s="18" t="n">
        <v>28</v>
      </c>
      <c r="Y71" s="18" t="n">
        <v>20</v>
      </c>
      <c r="Z71" s="18" t="n">
        <v>15</v>
      </c>
      <c r="AA71" s="18" t="n">
        <v>8</v>
      </c>
      <c r="AB71" s="18" t="n">
        <v>9</v>
      </c>
      <c r="AC71" s="15" t="inlineStr">
        <is>
          <t>Mittel</t>
        </is>
      </c>
      <c r="AD71" s="15" t="inlineStr">
        <is>
          <t>Bestandsliste</t>
        </is>
      </c>
      <c r="AE71" s="16" t="inlineStr">
        <is>
          <t>https://www.ibbventures.de/</t>
        </is>
      </c>
      <c r="AF71" s="16" t="inlineStr">
        <is>
          <t>https://www.ibbventures.de/en, https://www.ibb.de/en/foerderprogramme/vc-fonds.html, https://superscout.co/investor/ibb-ventures, https://vc-mapping.gilion.com/vc-firms/ibb-ventures</t>
        </is>
      </c>
    </row>
    <row r="72">
      <c r="A72" s="12" t="n">
        <v>68</v>
      </c>
      <c r="B72" s="14" t="inlineStr">
        <is>
          <t>Moonfire Ventures</t>
        </is>
      </c>
      <c r="C72" s="13" t="inlineStr">
        <is>
          <t>A</t>
        </is>
      </c>
      <c r="D72" s="13" t="n">
        <v>79</v>
      </c>
      <c r="E72" s="15" t="inlineStr">
        <is>
          <t>London</t>
        </is>
      </c>
      <c r="F72" s="15" t="inlineStr">
        <is>
          <t>Vereinigtes Königreich</t>
        </is>
      </c>
      <c r="G72" s="15" t="inlineStr">
        <is>
          <t>VC (unabhängig, datengetriebener Pre-Seed-/Seed-Fonds; gegründet von Atomico-Mitgründer)</t>
        </is>
      </c>
      <c r="H72" s="16" t="inlineStr">
        <is>
          <t>Pre-Seed und Seed</t>
        </is>
      </c>
      <c r="I72" s="15" t="inlineStr">
        <is>
          <t>Ja (typischer Pre-Seed-/Seed-Lead)</t>
        </is>
      </c>
      <c r="J72" s="16" t="inlineStr">
        <is>
          <t>n/a</t>
        </is>
      </c>
      <c r="K72" s="16" t="inlineStr">
        <is>
          <t>n/a</t>
        </is>
      </c>
      <c r="L72" s="18" t="inlineStr">
        <is>
          <t>Ja</t>
        </is>
      </c>
      <c r="M72" s="16" t="inlineStr">
        <is>
          <t>Fünf Themenfelder: 'Security, Infrastructure &amp; Tooling', 'Work &amp; Knowledge', 'Capital &amp; Finance', 'Gaming, Community &amp; Leisure', 'Health &amp; Wellbeing'. Sucht Unternehmen, die über Daten Zugang, Effizienz und Servicequalität verbessern. Versteht sich selbst als 'Technologieunternehmen, das Venture Capital macht' und nutzt eigene ML-Modelle für Sourcing.</t>
        </is>
      </c>
      <c r="N72" s="16" t="inlineStr">
        <is>
          <t>Lightdash (Open-Source-BI auf dbt - Data-Tooling), FlexionAI (Robotik über Simulation und Reinforcement Learning), Flagright (AI-Transaktionsmonitoring), Liveflow, Kernel (Custom AI für Revenue Ops) - alle Website-belegt.</t>
        </is>
      </c>
      <c r="O72" s="16" t="inlineStr">
        <is>
          <t>Hoch. Die Vertikale 'Infrastructure &amp; Tooling' plus Lightdash zeigen echtes Verständnis für Datenwerkzeuge; FlexionAI belegt Nähe zu trainingsdatenintensiven Modellen.</t>
        </is>
      </c>
      <c r="P72" s="16" t="inlineStr">
        <is>
          <t>Data-Infra-nah</t>
        </is>
      </c>
      <c r="Q72" s="16" t="inlineStr">
        <is>
          <t>Mattias Ljungman</t>
        </is>
      </c>
      <c r="R72" s="16" t="inlineStr">
        <is>
          <t>Founder / General Partner (Website-belegt als Teammitglied)</t>
        </is>
      </c>
      <c r="S72" s="16" t="inlineStr">
        <is>
          <t>n/a</t>
        </is>
      </c>
      <c r="T72" s="16" t="inlineStr">
        <is>
          <t>opportunities@moonfire.com</t>
        </is>
      </c>
      <c r="U72" s="16" t="inlineStr">
        <is>
          <t>Genau die gesuchte Stage (Pre-Seed/Seed), explizite Infrastruktur- und Tooling-These, datengetriebener Investmentprozess und ein Portfolio mit echten Data-Tools (Lightdash). Öffentlich genannte E-Mail-Adresse für Inbound senkt die Kontakthürde deutlich.</t>
        </is>
      </c>
      <c r="V72" s="16" t="inlineStr">
        <is>
          <t>Fonds- und Ticketgrößen nicht öffentlich - Kapazität für Folgerunden unklar. UK-Schwerpunkt, kein DACH-Büro. Der eigene ML-Sourcing-Ansatz bevorzugt Unternehmen mit starken digitalen Signalen; ein B2B-Enterprise-Modell mit wenig öffentlicher Spur kann durchs Raster fallen.</t>
        </is>
      </c>
      <c r="W72" s="16" t="inlineStr">
        <is>
          <t>Direkte Mail an opportunities@moonfire.com. Einordnung ausdrücklich unter 'Security, Infrastructure &amp; Tooling'. Da Moonfire selbst ML-Modelle baut, mit technischen Metriken argumentieren (Annotationsdurchsatz, Inter-Annotator-Agreement, Qualitäts-/Kostenkurve) statt mit Marktnarrativ.</t>
        </is>
      </c>
      <c r="X72" s="18" t="n">
        <v>28</v>
      </c>
      <c r="Y72" s="18" t="n">
        <v>23</v>
      </c>
      <c r="Z72" s="18" t="n">
        <v>13</v>
      </c>
      <c r="AA72" s="18" t="n">
        <v>9</v>
      </c>
      <c r="AB72" s="18" t="n">
        <v>6</v>
      </c>
      <c r="AC72" s="18" t="inlineStr">
        <is>
          <t>Hoch</t>
        </is>
      </c>
      <c r="AD72" s="15" t="inlineStr">
        <is>
          <t>NEU – Recherche-Ergaenzung</t>
        </is>
      </c>
      <c r="AE72" s="16" t="inlineStr">
        <is>
          <t>https://www.moonfire.com/</t>
        </is>
      </c>
      <c r="AF72" s="16" t="inlineStr">
        <is>
          <t>https://www.moonfire.com/</t>
        </is>
      </c>
    </row>
    <row r="73">
      <c r="A73" s="12" t="n">
        <v>69</v>
      </c>
      <c r="B73" s="14" t="inlineStr">
        <is>
          <t>Curiosity VC</t>
        </is>
      </c>
      <c r="C73" s="13" t="inlineStr">
        <is>
          <t>A</t>
        </is>
      </c>
      <c r="D73" s="13" t="n">
        <v>78</v>
      </c>
      <c r="E73" s="15" t="inlineStr">
        <is>
          <t>Amsterdam</t>
        </is>
      </c>
      <c r="F73" s="15" t="inlineStr">
        <is>
          <t>Niederlande</t>
        </is>
      </c>
      <c r="G73" s="15" t="inlineStr">
        <is>
          <t>VC (Pre-Seed/Seed)</t>
        </is>
      </c>
      <c r="H73" s="16" t="inlineStr">
        <is>
          <t>Pre-Seed und Seed (post-launch mit erster Kundentraktion)</t>
        </is>
      </c>
      <c r="I73" s="15" t="inlineStr">
        <is>
          <t>Ja - fuehrt kleine Pre-Seed-/Seed-Runden an bzw. co-leads</t>
        </is>
      </c>
      <c r="J73" s="16" t="inlineStr">
        <is>
          <t>klein, typisch unter 1 Mio. EUR</t>
        </is>
      </c>
      <c r="K73" s="16" t="inlineStr">
        <is>
          <t>Fund II: 17 Mio. EUR First Close (Jun 2026), Ziel 30-40 Mio. EUR; ca. 50 Mio. EUR AUM gesamt; LPs u.a. 44 Privatinvestoren und RVO Seed Capital</t>
        </is>
      </c>
      <c r="L73" s="18" t="inlineStr">
        <is>
          <t>Ja</t>
        </is>
      </c>
      <c r="M73" s="16" t="inlineStr">
        <is>
          <t>'We invest in B2B software companies applying new data, ML and AI technologies to create value'; vertikale/angewandte AI und agentische Software in Benelux, Nordics und Baltics; Themen: Future of Work, Trusted Society, Sustainable Living, Future of Commerce</t>
        </is>
      </c>
      <c r="N73" s="16" t="inlineStr">
        <is>
          <t>Orq.ai (LLMOps/AI-Agent-Deployment, Seed 5 Mio. EUR), Deeploy (Explainable AI und Model Monitoring), Dreamdata (B2B-Revenue-Data), Strise, Altura, Moonlit, QAtech</t>
        </is>
      </c>
      <c r="O73" s="16" t="inlineStr">
        <is>
          <t>Hoch relevant thematisch: LLMOps und Model Monitoring (Orq.ai, Deeploy) sind unmittelbare Nachbarkategorien zu Trainingsdaten-Qualitaet; kein direktes Labeling-Investment</t>
        </is>
      </c>
      <c r="P73" s="16" t="inlineStr">
        <is>
          <t>-</t>
        </is>
      </c>
      <c r="Q73" s="16" t="inlineStr">
        <is>
          <t>Herman Kienhuis</t>
        </is>
      </c>
      <c r="R73" s="16" t="inlineStr">
        <is>
          <t>Co-Founder &amp; Managing Partner (zuvor KPN Ventures); Maurice Beckand Verwee (Co-Founder &amp; Partner)</t>
        </is>
      </c>
      <c r="S73" s="16" t="inlineStr">
        <is>
          <t>n/a</t>
        </is>
      </c>
      <c r="T73" s="16" t="inlineStr">
        <is>
          <t>hello@curiosityvc.com; Pitch-Formular: https://forms.gle/gxXFoejN7WSpSXmF8</t>
        </is>
      </c>
      <c r="U73" s="16" t="inlineStr">
        <is>
          <t>Die These trifft PathWize woertlich ('B2B software applying new data, ML and AI technologies') und mit Orq.ai sowie Deeploy liegen zwei MLOps-Investments direkt daneben - limitierend sind Fondsgroesse und der Geo-Zuschnitt.</t>
        </is>
      </c>
      <c r="V73" s="16" t="inlineStr">
        <is>
          <t>Geografischer Zuschnitt auf Benelux, Nordics und Baltics - Deutschland ist nicht Zielregion; Fund II erst im First Close bei 17 Mio. EUR mit sehr kleinen Tickets, dadurch kaum Follow-on-Kraft; erwartet bereits Kundentraktion, kein reines Pre-Seed</t>
        </is>
      </c>
      <c r="W73" s="16" t="inlineStr">
        <is>
          <t>Ueber das oeffentliche Pitch-Formular mit MLOps-Framing: PathWize als Datenqualitaets-Layer unterhalb von Orq.ai und Deeploy, plus Hinweis auf Benelux-Kunden oder eine NL-Praesenz zur Geo-Passung.</t>
        </is>
      </c>
      <c r="X73" s="18" t="n">
        <v>29</v>
      </c>
      <c r="Y73" s="18" t="n">
        <v>26</v>
      </c>
      <c r="Z73" s="18" t="n">
        <v>14</v>
      </c>
      <c r="AA73" s="18" t="n">
        <v>5</v>
      </c>
      <c r="AB73" s="18" t="n">
        <v>4</v>
      </c>
      <c r="AC73" s="15" t="inlineStr">
        <is>
          <t>Mittel</t>
        </is>
      </c>
      <c r="AD73" s="15" t="inlineStr">
        <is>
          <t>Bestandsliste</t>
        </is>
      </c>
      <c r="AE73" s="16" t="inlineStr">
        <is>
          <t>https://www.curiosityvc.com/</t>
        </is>
      </c>
      <c r="AF73" s="16" t="inlineStr">
        <is>
          <t>https://www.curiosityvc.com/, https://www.vestbee.com/insights/articles/curiosity-vc-raises-17-m, https://fundmomentum.vc/funds/curiosity-vc-fund-ii, https://www.curiosityvc.com/post/orq-ai-closes-eu5m-in-seed-funding-to-help-enterprises-deploy-ai-agents-at-scale</t>
        </is>
      </c>
    </row>
    <row r="74">
      <c r="A74" s="12" t="n">
        <v>70</v>
      </c>
      <c r="B74" s="14" t="inlineStr">
        <is>
          <t>Dieter von Holtzbrinck Ventures</t>
        </is>
      </c>
      <c r="C74" s="13" t="inlineStr">
        <is>
          <t>A</t>
        </is>
      </c>
      <c r="D74" s="13" t="n">
        <v>78</v>
      </c>
      <c r="E74" s="18" t="inlineStr">
        <is>
          <t>Köln</t>
        </is>
      </c>
      <c r="F74" s="15" t="inlineStr">
        <is>
          <t>Deutschland</t>
        </is>
      </c>
      <c r="G74" s="15" t="inlineStr">
        <is>
          <t>VC (Familien-/Medienhaus-Hintergrund, inkl. Media-for-Equity)</t>
        </is>
      </c>
      <c r="H74" s="16" t="inlineStr">
        <is>
          <t>Pre-Seed, Seed und Series A (Schwerpunkt Seed; laut Drittdaten 23 Seed-, 13 Series-A- und 2 Series-B-Investments)</t>
        </is>
      </c>
      <c r="I74" s="15" t="inlineStr">
        <is>
          <t>Ja - regelmäßig Lead oder Co-Lead in Seed-Runden (durchschnittliche Rundengröße ca. 4,7 Mio. USD)</t>
        </is>
      </c>
      <c r="J74" s="16" t="inlineStr">
        <is>
          <t>Nicht offiziell ausgewiesen; typische Beteiligung im niedrigen einstelligen Millionenbereich abgeleitet aus Rundengrößen (offizielle Angabe: n/a)</t>
        </is>
      </c>
      <c r="K74" s="16" t="inlineStr">
        <is>
          <t>Mehrere Fonds; Digital-Health-Fonds mit erstem Closing bei 70 Mio. EUR (2020), Gesamt-AUM nicht öffentlich ausgewiesen</t>
        </is>
      </c>
      <c r="L74" s="15" t="inlineStr">
        <is>
          <t>Teilweise</t>
        </is>
      </c>
      <c r="M74" s="16" t="inlineStr">
        <is>
          <t>Emerging Technology mit Fokus auf B2B SaaS, Deep Tech und AI; Investment-Cluster Digital Health, Education, Industrial und Climate Tech. Zusätzlich exklusives Media-for-Equity-Programm über Handelsblatt, DIE ZEIT, WirtschaftsWoche, Tagesspiegel.</t>
        </is>
      </c>
      <c r="N74" s="16" t="inlineStr">
        <is>
          <t>LiveEO (Satelliten-/Geodaten-Analytics mit ML), Buynomics (Simulations-/Analytics-Software), Nect (KI-gestützte Identitätsverifikation)</t>
        </is>
      </c>
      <c r="O74" s="16" t="inlineStr">
        <is>
          <t>Mittel: B2B-SaaS/Deep-Tech/AI ist explizit These, und LiveEO arbeitet stark mit annotierten Geodaten. Ein direktes Labeling-/Annotation-Investment ist nicht belegt.</t>
        </is>
      </c>
      <c r="P74" s="16" t="inlineStr">
        <is>
          <t>-</t>
        </is>
      </c>
      <c r="Q74" s="16" t="inlineStr">
        <is>
          <t>Fabian von Trotha</t>
        </is>
      </c>
      <c r="R74" s="16" t="inlineStr">
        <is>
          <t>Managing Partner (weitere Partner: Peter Richarz, Managing Partner; Duc Quyen Tran, Partner)</t>
        </is>
      </c>
      <c r="S74" s="16" t="inlineStr">
        <is>
          <t>n/a</t>
        </is>
      </c>
      <c r="T74" s="16" t="inlineStr">
        <is>
          <t>contact@dvhventures.de ; Pitch-Formular: https://dvhventures.typeform.com/to/UvfdLtrf ; Telefon +49 221 933 1610</t>
        </is>
      </c>
      <c r="U74" s="16" t="inlineStr">
        <is>
          <t>DvH nennt B2B SaaS, Deep Tech und AI explizit als Fokus, investiert schwerpunktmäßig in deutsche Seed-Runden und stellt mit einem klar dokumentierten Pitch-Kanal einen niedrigschwelligen Zugang bereit. Das Media-for-Equity-Programm ist für ein Infrastruktur-B2B-Produkt allerdings nur begrenzt wertstiftend.</t>
        </is>
      </c>
      <c r="V74" s="16" t="inlineStr">
        <is>
          <t>Sektor-Cluster sind stark auf Digital Health, Education und Climate ausgerichtet - reine Data-Infrastruktur passt nicht ins Kern-Cluster. Keine belegten MLOps-/Labeling-Investments.</t>
        </is>
      </c>
      <c r="W74" s="16" t="inlineStr">
        <is>
          <t>Über das Typeform pitchen und PathWize an das Deep-Tech-/AI-Cluster andocken, mit LiveEO als Referenzfall für den Wert hochwertig annotierter Trainingsdaten.</t>
        </is>
      </c>
      <c r="X74" s="18" t="n">
        <v>27</v>
      </c>
      <c r="Y74" s="18" t="n">
        <v>21</v>
      </c>
      <c r="Z74" s="18" t="n">
        <v>12</v>
      </c>
      <c r="AA74" s="18" t="n">
        <v>8</v>
      </c>
      <c r="AB74" s="18" t="n">
        <v>10</v>
      </c>
      <c r="AC74" s="15" t="inlineStr">
        <is>
          <t>Mittel</t>
        </is>
      </c>
      <c r="AD74" s="15" t="inlineStr">
        <is>
          <t>Bestandsliste</t>
        </is>
      </c>
      <c r="AE74" s="16" t="inlineStr">
        <is>
          <t>https://dvhventures.de/</t>
        </is>
      </c>
      <c r="AF74" s="16" t="inlineStr">
        <is>
          <t>https://dvhventures.de/, https://dvhventures.de/about/, https://www.crunchbase.com/organization/dvh-ventures, https://tracxn.com/d/venture-capital/dieter-von-holtzbrinck-ventures/__e6P_rmp-2OXDCT3Kq1scdsHDz6HYCtuPxP_tbNkxjsg, https://www.linkedin.com/company/dieter-von-holtzbrinck-ventures-gmbh/</t>
        </is>
      </c>
    </row>
    <row r="75">
      <c r="A75" s="12" t="n">
        <v>71</v>
      </c>
      <c r="B75" s="14" t="inlineStr">
        <is>
          <t>Interface Capital</t>
        </is>
      </c>
      <c r="C75" s="13" t="inlineStr">
        <is>
          <t>A</t>
        </is>
      </c>
      <c r="D75" s="13" t="n">
        <v>78</v>
      </c>
      <c r="E75" s="15" t="inlineStr">
        <is>
          <t>Berlin</t>
        </is>
      </c>
      <c r="F75" s="15" t="inlineStr">
        <is>
          <t>Deutschland</t>
        </is>
      </c>
      <c r="G75" s="15" t="inlineStr">
        <is>
          <t>VC (Operator-Fonds)</t>
        </is>
      </c>
      <c r="H75" s="16" t="inlineStr">
        <is>
          <t>Pre-Seed &amp; Seed</t>
        </is>
      </c>
      <c r="I75" s="15" t="inlineStr">
        <is>
          <t>Selten Lead; typischerweise Co-Investor mit hoher operativer Beteiligung</t>
        </is>
      </c>
      <c r="J75" s="16" t="inlineStr">
        <is>
          <t>300 bis 500 Tsd. USD/EUR</t>
        </is>
      </c>
      <c r="K75" s="16" t="inlineStr">
        <is>
          <t>ca. 20 Mio. USD</t>
        </is>
      </c>
      <c r="L75" s="18" t="inlineStr">
        <is>
          <t>Ja</t>
        </is>
      </c>
      <c r="M75" s="16" t="inlineStr">
        <is>
          <t>'Fewer things, done well' - Operator-to-Operator-Ansatz, Software und Frontier Technology mit starkem Produktfokus; gegruendet 2022</t>
        </is>
      </c>
      <c r="N75" s="16" t="inlineStr">
        <is>
          <t>Browse AI (AI-Web-Datenextraktion), Lemni (AI-Agenten), Paretos (Decision Intelligence / ML-Optimierung), ARX Robotics, Akhetonics; Christian Reber persoenlich in Notion, Synthesia, Writer, Framer investiert</t>
        </is>
      </c>
      <c r="O75" s="16" t="inlineStr">
        <is>
          <t>Hoch - Browse AI und Paretos liegen direkt in der Daten-/ML-Pipeline-Nachbarschaft, Reber versteht Trainingsdaten aus seinen Synthesia-/Writer-Investments</t>
        </is>
      </c>
      <c r="P75" s="16" t="inlineStr">
        <is>
          <t>-</t>
        </is>
      </c>
      <c r="Q75" s="16" t="inlineStr">
        <is>
          <t>Christian Reber</t>
        </is>
      </c>
      <c r="R75" s="16" t="inlineStr">
        <is>
          <t>Co-Founder &amp; Partner (Gruender Wunderlist, Pitch, Superlist); Co-Founder Niklas Jansen (Blinkist)</t>
        </is>
      </c>
      <c r="S75" s="16" t="inlineStr">
        <is>
          <t>https://de.linkedin.com/in/christianreber</t>
        </is>
      </c>
      <c r="T75" s="16" t="inlineStr">
        <is>
          <t>hello@interfacecap.com</t>
        </is>
      </c>
      <c r="U75" s="16" t="inlineStr">
        <is>
          <t>Berliner Pre-Seed-Fonds mit klar AI-lastigem Portfolio (Browse AI, Lemni, Paretos) und Gruendern, die selbst AI-Produkte gebaut und in Synthesia/Writer investiert haben - inhaltlich sehr anschlussfaehig an Trainingsdaten. Der kleine 20-Mio.-Fonds mit 300-500k-Tickets kann eine Runde aber nicht allein tragen.</t>
        </is>
      </c>
      <c r="V75" s="16" t="inlineStr">
        <is>
          <t>Sehr kleiner Fonds (ca. 20 Mio. USD), Tickets zu klein fuer eine Lead-Position; bewusst wenige Deals pro Jahr ('fewer things, done well') - hohe Selektivitaet</t>
        </is>
      </c>
      <c r="W75" s="16" t="inlineStr">
        <is>
          <t>Ueber die Produktnaehe zu Browse AI und Paretos einsteigen und Interface als operativ mitarbeitenden Co-Investor neben einem groesseren Lead vorschlagen.</t>
        </is>
      </c>
      <c r="X75" s="18" t="n">
        <v>24</v>
      </c>
      <c r="Y75" s="18" t="n">
        <v>24</v>
      </c>
      <c r="Z75" s="18" t="n">
        <v>13</v>
      </c>
      <c r="AA75" s="18" t="n">
        <v>7</v>
      </c>
      <c r="AB75" s="18" t="n">
        <v>10</v>
      </c>
      <c r="AC75" s="15" t="inlineStr">
        <is>
          <t>Mittel</t>
        </is>
      </c>
      <c r="AD75" s="15" t="inlineStr">
        <is>
          <t>Bestandsliste</t>
        </is>
      </c>
      <c r="AE75" s="16" t="inlineStr">
        <is>
          <t>https://interfacecap.com/</t>
        </is>
      </c>
      <c r="AF75" s="16" t="inlineStr">
        <is>
          <t>https://interfacecap.com/, https://interfacecap.substack.com/about, https://interfacecap.com/imprint/, https://www.startbase.com/news/christian-reber-startet-eigenen-fonds/, https://superscout.co/investor/interface-capital</t>
        </is>
      </c>
    </row>
    <row r="76">
      <c r="A76" s="12" t="n">
        <v>72</v>
      </c>
      <c r="B76" s="14" t="inlineStr">
        <is>
          <t>Singular</t>
        </is>
      </c>
      <c r="C76" s="13" t="inlineStr">
        <is>
          <t>A</t>
        </is>
      </c>
      <c r="D76" s="13" t="n">
        <v>78</v>
      </c>
      <c r="E76" s="18" t="inlineStr">
        <is>
          <t>Paris</t>
        </is>
      </c>
      <c r="F76" s="18" t="inlineStr">
        <is>
          <t>FR</t>
        </is>
      </c>
      <c r="G76" s="18" t="inlineStr">
        <is>
          <t>VC</t>
        </is>
      </c>
      <c r="H76" s="16" t="inlineStr">
        <is>
          <t>Seed bis Series B, Schwerpunkt Series A</t>
        </is>
      </c>
      <c r="I76" s="15" t="inlineStr">
        <is>
          <t>Ja - fuehrt Series-A-Runden an</t>
        </is>
      </c>
      <c r="J76" s="16" t="inlineStr">
        <is>
          <t>1 - 25 Mio. EUR (breite Spanne ueber die Stages)</t>
        </is>
      </c>
      <c r="K76" s="16" t="inlineStr">
        <is>
          <t>Fund II 400 Mio. EUR / ca. 435 Mio. USD (Dez 2023); insgesamt ueber 600 Mio. EUR</t>
        </is>
      </c>
      <c r="L76" s="15" t="inlineStr">
        <is>
          <t>Teilweise</t>
        </is>
      </c>
      <c r="M76" s="16" t="inlineStr">
        <is>
          <t>Generalistischer europaeischer Fonds der Ex-Alven-Partner; Category Leaders in ueber 10 Laendern, technologiegetriebene Software</t>
        </is>
      </c>
      <c r="N76" s="16" t="inlineStr">
        <is>
          <t>Tinybird (Realtime-Data-Plattform / Analytics-API - echte Data-Infrastruktur), Osium AI (Materials AI), Continuum Industries</t>
        </is>
      </c>
      <c r="O76" s="16" t="inlineStr">
        <is>
          <t>Mittel - mit Tinybird ist ein reines Data-Infrastructure-Investment belegt, Annotation/Labeling selbst jedoch nicht abgedeckt</t>
        </is>
      </c>
      <c r="P76" s="16" t="inlineStr">
        <is>
          <t>Data-Infra-nah</t>
        </is>
      </c>
      <c r="Q76" s="16" t="inlineStr">
        <is>
          <t>Jeremy Uzan</t>
        </is>
      </c>
      <c r="R76" s="16" t="inlineStr">
        <is>
          <t>Co-Founder / General Partner (zweiter Co-Founder: Raffi Kamber)</t>
        </is>
      </c>
      <c r="S76" s="16" t="inlineStr">
        <is>
          <t>n/a</t>
        </is>
      </c>
      <c r="T76" s="16" t="inlineStr">
        <is>
          <t>Kontaktformular auf singular.vc; kein oeffentliches Pitch-Postfach belegbar</t>
        </is>
      </c>
      <c r="U76" s="16" t="inlineStr">
        <is>
          <t>400-Mio.-EUR-Fonds mit Series-A-Schwerpunkt und mit Tinybird einem belegten Data-Infrastructure-Lead; investiert pan-europaeisch in ueber zehn Laendern und damit auch im DACH-Raum.</t>
        </is>
      </c>
      <c r="V76" s="16" t="inlineStr">
        <is>
          <t>Fund II stammt aus Dez 2023 und duerfte im Investitionszyklus fortgeschritten sein; generalistische These ohne dedizierten AI/Data-Vertikal; Frankreich-Schwerpunkt, DACH nicht Kernmarkt</t>
        </is>
      </c>
      <c r="W76" s="16" t="inlineStr">
        <is>
          <t>Ueber Tinybird andocken: PathWize liefert die kuratierte Trainingsdatenschicht oberhalb der Realtime-Datenpipeline, mit demselben Infrastruktur-Playbook fuer Europa.</t>
        </is>
      </c>
      <c r="X76" s="18" t="n">
        <v>25</v>
      </c>
      <c r="Y76" s="18" t="n">
        <v>22</v>
      </c>
      <c r="Z76" s="18" t="n">
        <v>14</v>
      </c>
      <c r="AA76" s="18" t="n">
        <v>9</v>
      </c>
      <c r="AB76" s="18" t="n">
        <v>8</v>
      </c>
      <c r="AC76" s="15" t="inlineStr">
        <is>
          <t>Mittel</t>
        </is>
      </c>
      <c r="AD76" s="15" t="inlineStr">
        <is>
          <t>Bestandsliste</t>
        </is>
      </c>
      <c r="AE76" s="16" t="inlineStr">
        <is>
          <t>https://www.singular.vc/</t>
        </is>
      </c>
      <c r="AF76" s="16" t="inlineStr">
        <is>
          <t>https://techcrunch.com/2023/12/14/paris-based-vc-firm-singular-raises-435-million-for-its-second-fund/, https://techcrunch.com/2021/03/29/singular-is-a-new-paris-based-vc-firm-with-265-million/, https://superscout.co/investor/singular-ventures</t>
        </is>
      </c>
    </row>
    <row r="77">
      <c r="A77" s="12" t="n">
        <v>73</v>
      </c>
      <c r="B77" s="14" t="inlineStr">
        <is>
          <t>Join Capital</t>
        </is>
      </c>
      <c r="C77" s="13" t="inlineStr">
        <is>
          <t>A</t>
        </is>
      </c>
      <c r="D77" s="13" t="n">
        <v>77</v>
      </c>
      <c r="E77" s="15" t="inlineStr">
        <is>
          <t>Berlin (+ London, Mailand)</t>
        </is>
      </c>
      <c r="F77" s="18" t="inlineStr">
        <is>
          <t>DE</t>
        </is>
      </c>
      <c r="G77" s="15" t="inlineStr">
        <is>
          <t>VC (Deep Tech / Industrial &amp; Enterprise Tech)</t>
        </is>
      </c>
      <c r="H77" s="16" t="inlineStr">
        <is>
          <t>Pre-Seed bis Series A</t>
        </is>
      </c>
      <c r="I77" s="15" t="inlineStr">
        <is>
          <t>Ja - fuehrt Seed- und Series-A-Runden an</t>
        </is>
      </c>
      <c r="J77" s="16" t="inlineStr">
        <is>
          <t>n/a (nicht oeffentlich; typisch 1-5 Mio. EUR im Seed)</t>
        </is>
      </c>
      <c r="K77" s="16" t="inlineStr">
        <is>
          <t>Fund II: 112 Mio. EUR (aktuell im Deployment); NATO Innovation Fund als LP</t>
        </is>
      </c>
      <c r="L77" s="15" t="inlineStr">
        <is>
          <t>Teilweise</t>
        </is>
      </c>
      <c r="M77" s="16" t="inlineStr">
        <is>
          <t>Industrial und Enterprise Tech in Europa und NATO-aligned Regionen: neue Materialien, Fertigungsautomatisierung, Artificial Intelligence, Quantum, Space, Robotik, Enterprise Applications</t>
        </is>
      </c>
      <c r="N77" s="16" t="inlineStr">
        <is>
          <t>37 Companies mit Exits wie Valispace, Prodsmart und Codeship (Dev-Tools); AI ist gelistetes Thema, ein dediziertes Data-Infra-Investment ist nicht belegbar</t>
        </is>
      </c>
      <c r="O77" s="16" t="inlineStr">
        <is>
          <t>Mittel - AI und Enterprise Applications sind Teil des Mandats, der Schwerpunkt liegt aber auf Industrie- und Defence-naher Technologie</t>
        </is>
      </c>
      <c r="P77" s="16" t="inlineStr">
        <is>
          <t>Data-Infra-nah</t>
        </is>
      </c>
      <c r="Q77" s="16" t="inlineStr">
        <is>
          <t>Tobias P. Schirmer</t>
        </is>
      </c>
      <c r="R77" s="16" t="inlineStr">
        <is>
          <t>Managing Partner &amp; Co-Founder (weitere Co-Founder: Jan Borgstaedt, Sebastian v. Ribbentrop)</t>
        </is>
      </c>
      <c r="S77" s="16" t="inlineStr">
        <is>
          <t>n/a (Profil: https://signal.nfx.com/investors/tobias-p-schirmer)</t>
        </is>
      </c>
      <c r="T77" s="16" t="inlineStr">
        <is>
          <t>Kontakt ueber https://www.join.capital/; Berliner Buero</t>
        </is>
      </c>
      <c r="U77" s="16" t="inlineStr">
        <is>
          <t>Berliner Pre-Seed-bis-Series-A-Lead mit 112-Mio.-EUR-Fonds im Deployment und sechs Neuinvestments in zwoelf Monaten; AI steht im Mandat, der Schwerpunkt liegt jedoch auf Industrial und Defence Tech.</t>
        </is>
      </c>
      <c r="V77" s="16" t="inlineStr">
        <is>
          <t>Kein belegtes Data-Infra-/MLOps-/Annotation-Investment; NATO-Innovation-Fund-LP verschiebt den Fokus Richtung Defence und Dual-Use; Ticketgroessen nicht transparent</t>
        </is>
      </c>
      <c r="W77" s="16" t="inlineStr">
        <is>
          <t>Als Industrial-AI-Enabler pitchen: Labeling von Sensor-, Vision- und Fertigungsdaten inklusive Dual-Use-Faehigkeit fuer NATO-aligned Kunden.</t>
        </is>
      </c>
      <c r="X77" s="18" t="n">
        <v>28</v>
      </c>
      <c r="Y77" s="18" t="n">
        <v>21</v>
      </c>
      <c r="Z77" s="18" t="n">
        <v>9</v>
      </c>
      <c r="AA77" s="18" t="n">
        <v>9</v>
      </c>
      <c r="AB77" s="18" t="n">
        <v>10</v>
      </c>
      <c r="AC77" s="15" t="inlineStr">
        <is>
          <t>Mittel</t>
        </is>
      </c>
      <c r="AD77" s="15" t="inlineStr">
        <is>
          <t>Bestandsliste</t>
        </is>
      </c>
      <c r="AE77" s="16" t="inlineStr">
        <is>
          <t>https://www.join.capital/</t>
        </is>
      </c>
      <c r="AF77" s="16" t="inlineStr">
        <is>
          <t>https://www.join.capital/, https://www.vestbee.com/insights/articles/nif-invests-in-join-capital, https://tracxn.com/d/venture-capital/join-capital/__2jOk-t9EjgQqzeqZ7q2rQxa3_xp-kTLvwJz1OQgpHlA, https://www.crunchbase.com/organization/join-capital</t>
        </is>
      </c>
    </row>
    <row r="78">
      <c r="A78" s="12" t="n">
        <v>74</v>
      </c>
      <c r="B78" s="14" t="inlineStr">
        <is>
          <t>Playfair Capital</t>
        </is>
      </c>
      <c r="C78" s="13" t="inlineStr">
        <is>
          <t>A</t>
        </is>
      </c>
      <c r="D78" s="13" t="n">
        <v>76</v>
      </c>
      <c r="E78" s="15" t="inlineStr">
        <is>
          <t>London</t>
        </is>
      </c>
      <c r="F78" s="15" t="inlineStr">
        <is>
          <t>Vereinigtes Königreich</t>
        </is>
      </c>
      <c r="G78" s="15" t="inlineStr">
        <is>
          <t>VC (unabhängig, reiner Pre-Seed-Fonds)</t>
        </is>
      </c>
      <c r="H78" s="16" t="inlineStr">
        <is>
          <t>Ausschließlich Pre-Seed (UK und Europa), mit Follow-on bis Series A</t>
        </is>
      </c>
      <c r="I78" s="15" t="inlineStr">
        <is>
          <t>Ja - typischer Pre-Seed-Lead, ko-investiert bei 100 % der Neuinvestments</t>
        </is>
      </c>
      <c r="J78" s="16" t="inlineStr">
        <is>
          <t>100 TGBP - 1,5 Mio. GBP Erstticket; bis 5 Mio. GBP pro Unternehmen inklusive Follow-ons</t>
        </is>
      </c>
      <c r="K78" s="16" t="inlineStr">
        <is>
          <t>57 Mio. GBP (Fonds III); 60 % des Fonds für Follow-ons reserviert</t>
        </is>
      </c>
      <c r="L78" s="15" t="inlineStr">
        <is>
          <t>Teilweise</t>
        </is>
      </c>
      <c r="M78" s="16" t="inlineStr">
        <is>
          <t>Sektoragnostischer, thesenoffener Pre-Seed-Investor mit starkem Deep-Tech- und AI-Einschlag; investiert in 'visionäre Gründer mit Hustle, Heart und Humility'. Rund 6 Investments pro Jahr, hohe Selektivität.</t>
        </is>
      </c>
      <c r="N78" s="16" t="inlineStr">
        <is>
          <t>Recycleye (Computer Vision für Abfallsortierung - stark annotationsabhängig), StackOne (Integrations-Infrastruktur), Orca, Protex, Nory. Explizite Data-Infrastruktur-These ist auf der Website nicht ausgewiesen.</t>
        </is>
      </c>
      <c r="O78" s="16" t="inlineStr">
        <is>
          <t>Mittel bis hoch. Als reiner Pre-Seed-Fonds mit Computer-Vision- und Infrastruktur-Investments grundsätzlich anschlussfähig, aber ohne dedizierte Data-Layer-These.</t>
        </is>
      </c>
      <c r="P78" s="16" t="inlineStr">
        <is>
          <t>Data-Infra-nah</t>
        </is>
      </c>
      <c r="Q78" s="16" t="inlineStr">
        <is>
          <t>Chris Smith</t>
        </is>
      </c>
      <c r="R78" s="16" t="inlineStr">
        <is>
          <t>Managing Partner (nicht in dieser Recherche über die Website verifiziert)</t>
        </is>
      </c>
      <c r="S78" s="16" t="inlineStr">
        <is>
          <t>n/a</t>
        </is>
      </c>
      <c r="T78" s="16" t="inlineStr">
        <is>
          <t>Pitch-Formular unter https://playfair.vc/pitch-us</t>
        </is>
      </c>
      <c r="U78" s="16" t="inlineStr">
        <is>
          <t>Perfekte Stage-Passung: einer der wenigen reinen Pre-Seed-Leads Europas mit ausgewiesen hoher Series-A-Graduierungsquote (78 %) und großzügigen Follow-on-Reserven. Deep-Tech-affin und mit Recycleye ein direkt annotationsabhängiges Computer-Vision-Investment.</t>
        </is>
      </c>
      <c r="V78" s="16" t="inlineStr">
        <is>
          <t>Nur rund 6 Neuinvestments pro Jahr - extrem niedrige Trefferwahrscheinlichkeit. Kleiner Fonds (57 Mio. GBP) und UK-Schwerpunkt; kontinentaleuropäische bzw. DACH-Deals sind seltener. Keine spezialisierte Data-Infra-Kompetenz im Team belegbar.</t>
        </is>
      </c>
      <c r="W78" s="16" t="inlineStr">
        <is>
          <t>Direkte Bewerbung über das Pitch-Formular (Playfair ist ausdrücklich offen für Cold Inbound). Aufhänger: Recycleye als Beleg dafür, dass Playfair Datenannotationsabhängigkeit versteht - PathWize als Infrastruktur hinter genau solchen Vision-Startups positionieren.</t>
        </is>
      </c>
      <c r="X78" s="18" t="n">
        <v>28</v>
      </c>
      <c r="Y78" s="18" t="n">
        <v>20</v>
      </c>
      <c r="Z78" s="18" t="n">
        <v>12</v>
      </c>
      <c r="AA78" s="18" t="n">
        <v>9</v>
      </c>
      <c r="AB78" s="18" t="n">
        <v>7</v>
      </c>
      <c r="AC78" s="18" t="inlineStr">
        <is>
          <t>Hoch</t>
        </is>
      </c>
      <c r="AD78" s="15" t="inlineStr">
        <is>
          <t>NEU – Recherche-Ergaenzung</t>
        </is>
      </c>
      <c r="AE78" s="16" t="inlineStr">
        <is>
          <t>https://playfair.vc/</t>
        </is>
      </c>
      <c r="AF78" s="16" t="inlineStr">
        <is>
          <t>https://playfair.vc/</t>
        </is>
      </c>
    </row>
    <row r="79">
      <c r="A79" s="12" t="n">
        <v>75</v>
      </c>
      <c r="B79" s="14" t="inlineStr">
        <is>
          <t>WENVEST CAPITAL</t>
        </is>
      </c>
      <c r="C79" s="13" t="inlineStr">
        <is>
          <t>A</t>
        </is>
      </c>
      <c r="D79" s="13" t="n">
        <v>76</v>
      </c>
      <c r="E79" s="15" t="inlineStr">
        <is>
          <t>München</t>
        </is>
      </c>
      <c r="F79" s="15" t="inlineStr">
        <is>
          <t>Deutschland</t>
        </is>
      </c>
      <c r="G79" s="15" t="inlineStr">
        <is>
          <t>VC (Family-Office-Ursprung, WEGA Invest)</t>
        </is>
      </c>
      <c r="H79" s="16" t="inlineStr">
        <is>
          <t>Pre-Seed und Seed; opportunistisch Series A</t>
        </is>
      </c>
      <c r="I79" s="15" t="inlineStr">
        <is>
          <t>Teilweise – tritt bei Pre-Seed/Seed als Lead oder Co-Lead auf</t>
        </is>
      </c>
      <c r="J79" s="16" t="inlineStr">
        <is>
          <t>250.000 – 1 Mio. EUR Initial-Ticket</t>
        </is>
      </c>
      <c r="K79" s="16" t="inlineStr">
        <is>
          <t>n/a (nicht offengelegt)</t>
        </is>
      </c>
      <c r="L79" s="15" t="inlineStr">
        <is>
          <t>Teilweise</t>
        </is>
      </c>
      <c r="M79" s="16" t="inlineStr">
        <is>
          <t>Explizit Early-Stage B2B-Software und SaaS in DACH; thematische Schwerpunkte digitale Transformation, Digital Health und Climate Solutions; 'patient, pragmatic capital'</t>
        </is>
      </c>
      <c r="N79" s="16" t="inlineStr">
        <is>
          <t>n/a im Detail belegbar – Portfolio ist durchgängig B2B-Software/SaaS, ein dediziertes Data-Infra-/MLOps-Investment ist nicht öffentlich belegt</t>
        </is>
      </c>
      <c r="O79" s="16" t="inlineStr">
        <is>
          <t>Mittel-hoch – die reine B2B-Software-These und der DACH-Pre-Seed-Fokus passen strukturell sehr gut, der AI-/Data-Infra-Beleg fehlt aber noch</t>
        </is>
      </c>
      <c r="P79" s="16" t="inlineStr">
        <is>
          <t>Data-Infra-nah</t>
        </is>
      </c>
      <c r="Q79" s="16" t="inlineStr">
        <is>
          <t>Bernd Wendeln</t>
        </is>
      </c>
      <c r="R79" s="16" t="inlineStr">
        <is>
          <t>Managing Partner (Co-Founder WEGA Invest und BonVenture); weitere: Christophe Aumaître (Partner), Dr. Tom Orben (Investment Manager)</t>
        </is>
      </c>
      <c r="S79" s="16" t="inlineStr">
        <is>
          <t>n/a (Firmenprofil: https://www.linkedin.com/company/wenvestcapital/)</t>
        </is>
      </c>
      <c r="T79" s="16" t="inlineStr">
        <is>
          <t>deals@wenvest.capital (Deal-Submissions), info@wenvest.capital; Pitch-Formular via Airtable auf wenvest.capital</t>
        </is>
      </c>
      <c r="U79" s="16" t="inlineStr">
        <is>
          <t>Reinrassiger Pre-Seed-/Seed-Investor für B2B-Software in DACH mit passender Ticketgröße (250 TEUR–1 Mio. EUR) und offenem Deal-Kanal. Der AI-/Data-Infrastruktur-Track-Record ist allerdings nicht öffentlich belegt.</t>
        </is>
      </c>
      <c r="V79" s="16" t="inlineStr">
        <is>
          <t>Kein belegtes AI-/Data-Infra-Investment; Fondsgröße intransparent; Nebenschwerpunkte Digital Health und Climate binden Kapazität</t>
        </is>
      </c>
      <c r="W79" s="16" t="inlineStr">
        <is>
          <t>Direkt an deals@wenvest.capital mit dem B2B-Software-Framing: PathWize als Infrastruktur-SaaS, das den Daten-Engpass jeder AI-Einführung im deutschen Mittelstand löst.</t>
        </is>
      </c>
      <c r="X79" s="18" t="n">
        <v>27</v>
      </c>
      <c r="Y79" s="18" t="n">
        <v>24</v>
      </c>
      <c r="Z79" s="18" t="n">
        <v>8</v>
      </c>
      <c r="AA79" s="18" t="n">
        <v>7</v>
      </c>
      <c r="AB79" s="18" t="n">
        <v>10</v>
      </c>
      <c r="AC79" s="15" t="inlineStr">
        <is>
          <t>Mittel</t>
        </is>
      </c>
      <c r="AD79" s="15" t="inlineStr">
        <is>
          <t>Bestandsliste</t>
        </is>
      </c>
      <c r="AE79" s="16" t="inlineStr">
        <is>
          <t>https://www.wenvest.capital/</t>
        </is>
      </c>
      <c r="AF79" s="16" t="inlineStr">
        <is>
          <t>https://www.wenvest.capital/, https://www.wenvest.capital/team, https://vc-mapping.gilion.com/vc-firms/wenvest-capital, https://www.startbase.com/organization/wenvest-capital/</t>
        </is>
      </c>
    </row>
    <row r="80">
      <c r="A80" s="12" t="n">
        <v>76</v>
      </c>
      <c r="B80" s="14" t="inlineStr">
        <is>
          <t>Iris Capital (IRIS)</t>
        </is>
      </c>
      <c r="C80" s="13" t="inlineStr">
        <is>
          <t>A</t>
        </is>
      </c>
      <c r="D80" s="13" t="n">
        <v>75</v>
      </c>
      <c r="E80" s="15" t="inlineStr">
        <is>
          <t>Paris (Bueros u.a. Berlin, Muenchen, San Francisco, Tel Aviv, Tokio, Dubai)</t>
        </is>
      </c>
      <c r="F80" s="15" t="inlineStr">
        <is>
          <t>Frankreich (aktive DACH-Praesenz)</t>
        </is>
      </c>
      <c r="G80" s="15" t="inlineStr">
        <is>
          <t>VC (paneuropaeisch, Early Stage + Growth)</t>
        </is>
      </c>
      <c r="H80" s="16" t="inlineStr">
        <is>
          <t>Ab erster institutioneller Runde (kein Pre-Seed), Schwerpunkt Series A und Series B; separater Late-Stage-Fonds</t>
        </is>
      </c>
      <c r="I80" s="15" t="inlineStr">
        <is>
          <t>Ja, fuehrt Series-A-Runden regelmaessig an</t>
        </is>
      </c>
      <c r="J80" s="16" t="inlineStr">
        <is>
          <t>Early Stage 1 - 10 Mio. EUR Erstticket; Late-Stage-Fonds bis 40 Mio. EUR</t>
        </is>
      </c>
      <c r="K80" s="16" t="inlineStr">
        <is>
          <t>neuer Early-Stage-Fonds ca. 150 Mio. EUR; Gesamt-AUM im Milliardenbereich, Firma seit 1986 aktiv</t>
        </is>
      </c>
      <c r="L80" s="18" t="inlineStr">
        <is>
          <t>Ja</t>
        </is>
      </c>
      <c r="M80" s="16" t="inlineStr">
        <is>
          <t>Digitale Technologien in Europa: AI, Deep Tech, Industrie 4.0, B2B-Software, Marktplaetze, B2B-Netzwerke, Fintech, Cybersecurity.</t>
        </is>
      </c>
      <c r="N80" s="16" t="inlineStr">
        <is>
          <t>Armis (Cybersecurity/Asset-Intelligence), Exotec (Robotik), Spinergie (Datenanalytik), Talon.One, Shift; Managing Partner mit erklaertem Fokus auf AI und Deep Tech.</t>
        </is>
      </c>
      <c r="O80" s="16" t="inlineStr">
        <is>
          <t>Mittel-hoch: erklaerter AI-/Deep-Tech-Fokus und robotik-/computer-vision-nahe Beteiligungen, aber kein belegtes Investment in Labeling- oder MLOps-Infrastruktur.</t>
        </is>
      </c>
      <c r="P80" s="16" t="inlineStr">
        <is>
          <t>-</t>
        </is>
      </c>
      <c r="Q80" s="16" t="inlineStr">
        <is>
          <t>Thorben Rothe (DACH) bzw. Julien-David Nitlech (AI/Deep Tech)</t>
        </is>
      </c>
      <c r="R80" s="16" t="inlineStr">
        <is>
          <t>Thorben Rothe: Partner Venture, Berlin, Fokus Early Stage DACH, B2B-Software und Marktplaetze. Julien-David Nitlech: Managing Partner, verantwortet Early Stage Frankreich/Deutschland mit Fokus AI, Deep Tech, Industrie 4.0. Jakob Banhardt: Principal Venture, Berlin, Fokus AI/SaaS DACH.</t>
        </is>
      </c>
      <c r="S80" s="16" t="inlineStr">
        <is>
          <t>n/a</t>
        </is>
      </c>
      <c r="T80" s="16" t="inlineStr">
        <is>
          <t>Kontaktformular auf iris.vc; E-Mail n/a</t>
        </is>
      </c>
      <c r="U80" s="16" t="inlineStr">
        <is>
          <t>Paneuropaeischer Fonds mit frischem 150-Mio.-EUR-Early-Stage-Vehikel, dediziertem Berliner DACH-Team und explizitem AI-/Deep-Tech-Mandat auf Managing-Partner-Ebene.</t>
        </is>
      </c>
      <c r="V80" s="16" t="inlineStr">
        <is>
          <t>Kein Pre-Seed - erst ab erster institutioneller Runde mit Product-Market-Fit-Signalen; Ticket ab 1 Mio. EUR setzt entsprechende Runde voraus; Entscheidungszentrum in Paris.</t>
        </is>
      </c>
      <c r="W80" s="16" t="inlineStr">
        <is>
          <t>Ueber Jakob Banhardt oder Thorben Rothe im Berliner Buero ansprechen, mit PathWize als DACH-Play auf Julien-David Nitlechs AI-/Industrie-4.0-These: annotierte Trainingsdaten fuer europaeische Industrie- und Robotik-Modelle.</t>
        </is>
      </c>
      <c r="X80" s="18" t="n">
        <v>23</v>
      </c>
      <c r="Y80" s="18" t="n">
        <v>22</v>
      </c>
      <c r="Z80" s="18" t="n">
        <v>11</v>
      </c>
      <c r="AA80" s="18" t="n">
        <v>9</v>
      </c>
      <c r="AB80" s="18" t="n">
        <v>10</v>
      </c>
      <c r="AC80" s="15" t="inlineStr">
        <is>
          <t>Mittel</t>
        </is>
      </c>
      <c r="AD80" s="15" t="inlineStr">
        <is>
          <t>Bestandsliste</t>
        </is>
      </c>
      <c r="AE80" s="16" t="inlineStr">
        <is>
          <t>https://www.iris.vc/</t>
        </is>
      </c>
      <c r="AF80" s="16" t="inlineStr">
        <is>
          <t>https://www.iris.vc/, https://www.iris.vc/team, https://www.iris.vc/articles/iris-raises-a-new-eu150m-early-stage-fund, https://hub.waveup.com/funds/iris-capital, https://en.wikipedia.org/wiki/Iris_Capital</t>
        </is>
      </c>
    </row>
    <row r="81">
      <c r="A81" s="22" t="n">
        <v>77</v>
      </c>
      <c r="B81" s="23" t="inlineStr">
        <is>
          <t>Alstin Capital</t>
        </is>
      </c>
      <c r="C81" s="20" t="inlineStr">
        <is>
          <t>B</t>
        </is>
      </c>
      <c r="D81" s="20" t="n">
        <v>74</v>
      </c>
      <c r="E81" s="15" t="inlineStr">
        <is>
          <t>Muenchen</t>
        </is>
      </c>
      <c r="F81" s="15" t="inlineStr">
        <is>
          <t>Deutschland</t>
        </is>
      </c>
      <c r="G81" s="15" t="inlineStr">
        <is>
          <t>VC (Early Stage / Series A, B2B-Software)</t>
        </is>
      </c>
      <c r="H81" s="16" t="inlineStr">
        <is>
          <t>Late Seed / Series A</t>
        </is>
      </c>
      <c r="I81" s="15" t="inlineStr">
        <is>
          <t>Ja (explizit Lead-Investor, z.B. bei ANCLA Logistik, NORBr)</t>
        </is>
      </c>
      <c r="J81" s="16" t="inlineStr">
        <is>
          <t>EUR 2-8 Mio. Initial Investment (Fonds-III-Kommunikation: EUR 2-7 Mio.)</t>
        </is>
      </c>
      <c r="K81" s="16" t="inlineStr">
        <is>
          <t>Alstin III: EUR 175 Mio. (Final Close Dez. 2024, ueberzeichnet); LPs: Stiftungen, Versicherungen, Banken, Family Offices</t>
        </is>
      </c>
      <c r="L81" s="15" t="inlineStr">
        <is>
          <t>Teilweise</t>
        </is>
      </c>
      <c r="M81" s="16" t="inlineStr">
        <is>
          <t>B2B-Software in Europa mit DACH-Schwerpunkt; Sektoren FinTech, InsurTech, RegTech, Cyber Security, ClimateTech 'und andere'. Gegruendet 2018 von Carsten Maschmeyer.</t>
        </is>
      </c>
      <c r="N81" s="16" t="inlineStr">
        <is>
          <t>Etalytics (AI-basiertes Energiemanagement fuer Rechenzentren), Nect (AI-gestuetzte Identitaetsverifikation), FLOWIT (AI-HR-Analytics), Usercentrics, Alyne (Exit, Risk/Compliance-SaaS), Circula, Pliant, retraced</t>
        </is>
      </c>
      <c r="O81" s="16" t="inlineStr">
        <is>
          <t>Mittel: klare B2B-Software-These und AI-Anwendungen im Portfolio, aber kein Data-Infrastruktur-/MLOps-Schwerpunkt und keine Labeling-Investments.</t>
        </is>
      </c>
      <c r="P81" s="16" t="inlineStr">
        <is>
          <t>-</t>
        </is>
      </c>
      <c r="Q81" s="16" t="inlineStr">
        <is>
          <t>Carsten Maschmeyer</t>
        </is>
      </c>
      <c r="R81" s="16" t="inlineStr">
        <is>
          <t>Gruender von Alstin Capital</t>
        </is>
      </c>
      <c r="S81" s="16" t="inlineStr">
        <is>
          <t>n/a</t>
        </is>
      </c>
      <c r="T81" s="16" t="inlineStr">
        <is>
          <t>Pitch-Deck-Formular auf https://www.alstin.de (Bereich 'Send Pitch Deck'), Kontaktseite https://www.alstin.de/contact</t>
        </is>
      </c>
      <c r="U81" s="16" t="inlineStr">
        <is>
          <t>Frischer EUR-175-Mio.-Fonds mit expliziter B2B-Software-These und DACH-Fokus, der Runden anfuehrt - allerdings erst ab Late Seed/Series A und ohne Data-Infra-/MLOps-Track-Record.</t>
        </is>
      </c>
      <c r="V81" s="16" t="inlineStr">
        <is>
          <t>Kein echtes Pre-Seed/Seed (Einstieg ab Late Seed, Ticket EUR 2-8 Mio. = hohe Traktionsanforderung); Sektorliste ist FinTech/InsurTech/RegTech-lastig; AI nicht als eigene These ausgewiesen.</t>
        </is>
      </c>
      <c r="W81" s="16" t="inlineStr">
        <is>
          <t>Als skalierbares B2B-Software-Geschaeft mit wiederkehrenden Umsaetzen ansprechen, sobald PathWize Series-A-Traktion (ARR) zeigt - Bruecke ueber Etalytics/Nect als AI-Cases im Portfolio.</t>
        </is>
      </c>
      <c r="X81" s="18" t="n">
        <v>22</v>
      </c>
      <c r="Y81" s="18" t="n">
        <v>21</v>
      </c>
      <c r="Z81" s="18" t="n">
        <v>11</v>
      </c>
      <c r="AA81" s="18" t="n">
        <v>10</v>
      </c>
      <c r="AB81" s="18" t="n">
        <v>10</v>
      </c>
      <c r="AC81" s="18" t="inlineStr">
        <is>
          <t>Hoch</t>
        </is>
      </c>
      <c r="AD81" s="15" t="inlineStr">
        <is>
          <t>Bestandsliste</t>
        </is>
      </c>
      <c r="AE81" s="16" t="inlineStr">
        <is>
          <t>https://www.alstin.de</t>
        </is>
      </c>
      <c r="AF81" s="16" t="inlineStr">
        <is>
          <t>https://www.alstin.de, https://www.eu-startups.com/2024/12/munich-based-alstin-capital-raises-e175-million-for-alstin-iii-fund-to-fuel-european-b2b-software-growth/, https://tech.eu/2024/12/02/alstin-fund-secures-175m-for-series-a-b2b-saas/</t>
        </is>
      </c>
    </row>
    <row r="82">
      <c r="A82" s="22" t="n">
        <v>78</v>
      </c>
      <c r="B82" s="23" t="inlineStr">
        <is>
          <t>byFounders</t>
        </is>
      </c>
      <c r="C82" s="20" t="inlineStr">
        <is>
          <t>B</t>
        </is>
      </c>
      <c r="D82" s="20" t="n">
        <v>74</v>
      </c>
      <c r="E82" s="15" t="inlineStr">
        <is>
          <t>Kopenhagen (+ Stockholm)</t>
        </is>
      </c>
      <c r="F82" s="15" t="inlineStr">
        <is>
          <t>Daenemark</t>
        </is>
      </c>
      <c r="G82" s="15" t="inlineStr">
        <is>
          <t>VC (community-powered, Pre-Seed/Seed)</t>
        </is>
      </c>
      <c r="H82" s="16" t="inlineStr">
        <is>
          <t>Pre-Seed und Seed</t>
        </is>
      </c>
      <c r="I82" s="15" t="inlineStr">
        <is>
          <t>Ja - fuehrt Pre-Seed-/Seed-Runden an, Ziel 15-18% Ownership</t>
        </is>
      </c>
      <c r="J82" s="16" t="inlineStr">
        <is>
          <t>500 Tsd. - 4 Mio. EUR Erstticket</t>
        </is>
      </c>
      <c r="K82" s="16" t="inlineStr">
        <is>
          <t>Fund III: 130+ Mio. EUR (oversubscribed, 2026); ca. 35 Unternehmen pro Fonds</t>
        </is>
      </c>
      <c r="L82" s="15" t="inlineStr">
        <is>
          <t>Teilweise</t>
        </is>
      </c>
      <c r="M82" s="16" t="inlineStr">
        <is>
          <t>'New Nordics' (Nordics + Baltics): global ambitionierte, impact-bewusste Gruender mit starkem AI-Tilt; daneben Deeptech, Healthtech, Fintech, Consumer; unterstuetzt vom byFounders Collective (40+ Gruender/Operators)</t>
        </is>
      </c>
      <c r="N82" s="16" t="inlineStr">
        <is>
          <t>Lovable ('der AI Software Engineer'), Verda (erster europaeischer Hyperscaler fuer AI-Compute, Finnland), Corti (Health-AI), Monta, Flare</t>
        </is>
      </c>
      <c r="O82" s="16" t="inlineStr">
        <is>
          <t>Gering: Portfolio ist AI-Anwendungsschicht plus Compute-Infrastruktur, kein Data-Infra-, MLOps- oder Labeling-Investment belegbar</t>
        </is>
      </c>
      <c r="P82" s="16" t="inlineStr">
        <is>
          <t>-</t>
        </is>
      </c>
      <c r="Q82" s="16" t="inlineStr">
        <is>
          <t>Sara Rywe</t>
        </is>
      </c>
      <c r="R82" s="16" t="inlineStr">
        <is>
          <t>Managing Partner; weitere: Eric Lagier (Managing Partner), Magnus Hambleton (Partner)</t>
        </is>
      </c>
      <c r="S82" s="16" t="inlineStr">
        <is>
          <t>n/a</t>
        </is>
      </c>
      <c r="T82" s="16" t="inlineStr">
        <is>
          <t>Kein oeffentliches Pitch-Formular auf der Website; Kontakt ueber byfounders.vc bzw. Bueros Kopenhagen und Stockholm</t>
        </is>
      </c>
      <c r="U82" s="16" t="inlineStr">
        <is>
          <t>Perfekte Stage und Ticketgroesse aus einem brandneuen 130-Mio.-EUR-Fonds mit klarem AI-Tilt, aber byFounders verlangt einen Bezug zu den 'New Nordics' (Nordics/Baltics) und hat kein Data-Infrastruktur- oder Labeling-Buch.</t>
        </is>
      </c>
      <c r="V82" s="16" t="inlineStr">
        <is>
          <t>Harte Geo-Anforderung Nordics/Baltics - ein rein deutsches Team faellt in der Regel aus dem Mandat; breite Sektorstreuung inkl. Consumer und Impact; kein oeffentlicher Pitch-Kanal, Zugang laeuft ueber das Collective</t>
        </is>
      </c>
      <c r="W82" s="16" t="inlineStr">
        <is>
          <t>Nur mit nordischem Anker (Baltisches Delivery-Team, nordischer Kunde oder Collective-Kontakt) - dann als Trainingsdaten-Layer zu Verdas europaeischer AI-Compute-Infrastruktur positionieren.</t>
        </is>
      </c>
      <c r="X82" s="18" t="n">
        <v>30</v>
      </c>
      <c r="Y82" s="18" t="n">
        <v>20</v>
      </c>
      <c r="Z82" s="18" t="n">
        <v>11</v>
      </c>
      <c r="AA82" s="18" t="n">
        <v>10</v>
      </c>
      <c r="AB82" s="18" t="n">
        <v>3</v>
      </c>
      <c r="AC82" s="15" t="inlineStr">
        <is>
          <t>Mittel</t>
        </is>
      </c>
      <c r="AD82" s="15" t="inlineStr">
        <is>
          <t>Bestandsliste</t>
        </is>
      </c>
      <c r="AE82" s="16" t="inlineStr">
        <is>
          <t>https://byfounders.vc/</t>
        </is>
      </c>
      <c r="AF82" s="16" t="inlineStr">
        <is>
          <t>https://byfounders.vc/, https://oresundstartups.com/byfounders-closes-e130m-fund-iii-doubling-down-on-the-new-nordics-boldest-founders/, https://fundmomentum.vc/blog/byfounders-fund-iii-130m-new-nordics-oversubscribed-lovable-2026, https://tech.eu/2025/10/08/from-community-roots-to-ai-ambitions-byfounders-shapes-the-new-nordics-next-chapter/</t>
        </is>
      </c>
    </row>
    <row r="83">
      <c r="A83" s="22" t="n">
        <v>79</v>
      </c>
      <c r="B83" s="23" t="inlineStr">
        <is>
          <t>Elaia</t>
        </is>
      </c>
      <c r="C83" s="20" t="inlineStr">
        <is>
          <t>B</t>
        </is>
      </c>
      <c r="D83" s="20" t="n">
        <v>74</v>
      </c>
      <c r="E83" s="15" t="inlineStr">
        <is>
          <t>Paris (+ Barcelona, Tel Aviv)</t>
        </is>
      </c>
      <c r="F83" s="15" t="inlineStr">
        <is>
          <t>Frankreich</t>
        </is>
      </c>
      <c r="G83" s="15" t="inlineStr">
        <is>
          <t>VC (Deep-Tech, full-stack Seed bis Growth)</t>
        </is>
      </c>
      <c r="H83" s="16" t="inlineStr">
        <is>
          <t>Pre-Seed und Seed B2B Deep Tech (DTS3); daneben Later-Stage-Vehikel</t>
        </is>
      </c>
      <c r="I83" s="15" t="inlineStr">
        <is>
          <t>Ja - fuehrt Seed-Runden in Deep Tech an</t>
        </is>
      </c>
      <c r="J83" s="16" t="inlineStr">
        <is>
          <t>1-13 Mio. EUR ueber die Investmentlaufzeit (DTS3)</t>
        </is>
      </c>
      <c r="K83" s="16" t="inlineStr">
        <is>
          <t>DeepTech Seed 3 (DTS3): 134 Mio. EUR (Final Close Mrz 2026); ca. 850 Mio. EUR AUM, 100+ Investments, 80 Exits</t>
        </is>
      </c>
      <c r="L83" s="15" t="inlineStr">
        <is>
          <t>Teilweise</t>
        </is>
      </c>
      <c r="M83" s="16" t="inlineStr">
        <is>
          <t>Deep Tech aus europaeischer akademischer Forschung; drei Saeulen: Computing (inkl. Generative AI, Quantum, Cybersecurity), Future of Industry (Energie, Climate, Materialien), Life Sciences; Partnerschaften u.a. mit Inria, CNRS, Barcelona Supercomputing Center, Max-Planck-Institut</t>
        </is>
      </c>
      <c r="N83" s="16" t="inlineStr">
        <is>
          <t>GetVocal AI (auditierbare Conversational-AI-Agents fuer Enterprise), Aqemia (AI in der Chemie), Shift Technology, Alice&amp;Bob (Quantum), Proxima Fusion, SeqOne</t>
        </is>
      </c>
      <c r="O83" s="16" t="inlineStr">
        <is>
          <t>Gering bis mittel: GenAI faellt unter die Computing-Saeule, es gibt aber kein Data-Infrastruktur-, MLOps- oder Labeling-Investment; der Fonds sucht primaer forschungsbasierte IP</t>
        </is>
      </c>
      <c r="P83" s="16" t="inlineStr">
        <is>
          <t>-</t>
        </is>
      </c>
      <c r="Q83" s="16" t="inlineStr">
        <is>
          <t>n/a (kein dedizierter Data-Infrastruktur-Partner auf der Website ausgewiesen)</t>
        </is>
      </c>
      <c r="R83" s="16" t="inlineStr">
        <is>
          <t>n/a</t>
        </is>
      </c>
      <c r="S83" s="16" t="inlineStr">
        <is>
          <t>n/a</t>
        </is>
      </c>
      <c r="T83" s="16" t="inlineStr">
        <is>
          <t>Kontakt-/Pitch-Formular auf elaia.com; Bueros Paris, Barcelona, Tel Aviv</t>
        </is>
      </c>
      <c r="U83" s="16" t="inlineStr">
        <is>
          <t>Frischer 134-Mio.-EUR-Seed-Fonds mit passender Stage und bereits Investments in Deutschland, Spanien und der Schweiz - aber Elaia sucht forschungsbasierte Deep-Tech-Spinouts mit harter IP, wozu ein Human-in-the-loop-Datengeschaeft strukturell nicht passt.</t>
        </is>
      </c>
      <c r="V83" s="16" t="inlineStr">
        <is>
          <t>Klarer Deep-Tech-/Lab-Spinout-Filter (Inria, CNRS, Max Planck) - PathWize ist kein Forschungs-Spinout; kein Data-Infra- oder MLOps-Track-Record; Frankreich-Zentrierung; kein benennbarer Ansprechpartner fuer das Thema</t>
        </is>
      </c>
      <c r="W83" s="16" t="inlineStr">
        <is>
          <t>Nur mit wissenschaftlichem Aufhaenger sinnvoll: Positionierung als Forschungs-/Benchmark-Datenpartner fuer europaeische AI-Labs, angedockt an Elaias Max-Planck- und Inria-Kooperationen.</t>
        </is>
      </c>
      <c r="X83" s="18" t="n">
        <v>29</v>
      </c>
      <c r="Y83" s="18" t="n">
        <v>17</v>
      </c>
      <c r="Z83" s="18" t="n">
        <v>10</v>
      </c>
      <c r="AA83" s="18" t="n">
        <v>10</v>
      </c>
      <c r="AB83" s="18" t="n">
        <v>8</v>
      </c>
      <c r="AC83" s="15" t="inlineStr">
        <is>
          <t>Mittel</t>
        </is>
      </c>
      <c r="AD83" s="15" t="inlineStr">
        <is>
          <t>Bestandsliste</t>
        </is>
      </c>
      <c r="AE83" s="16" t="inlineStr">
        <is>
          <t>https://www.elaia.com/</t>
        </is>
      </c>
      <c r="AF83" s="16" t="inlineStr">
        <is>
          <t>https://www.elaia.com/, https://tech.eu/2026/03/12/elaia-closes-134m-fund-dts3-to-back-europe-s-next-generation-of-breakthrough-startups/, https://www.eu-startups.com/2026/03/french-vc-elaia-closes-third-deeptech-seed-fund-at-e134-million/</t>
        </is>
      </c>
    </row>
    <row r="84">
      <c r="A84" s="22" t="n">
        <v>80</v>
      </c>
      <c r="B84" s="23" t="inlineStr">
        <is>
          <t>Frst</t>
        </is>
      </c>
      <c r="C84" s="20" t="inlineStr">
        <is>
          <t>B</t>
        </is>
      </c>
      <c r="D84" s="20" t="n">
        <v>74</v>
      </c>
      <c r="E84" s="15" t="inlineStr">
        <is>
          <t>Paris (+ San Francisco)</t>
        </is>
      </c>
      <c r="F84" s="15" t="inlineStr">
        <is>
          <t>Frankreich</t>
        </is>
      </c>
      <c r="G84" s="15" t="inlineStr">
        <is>
          <t>VC (Day-One / Pre-Seed)</t>
        </is>
      </c>
      <c r="H84" s="16" t="inlineStr">
        <is>
          <t>Pre-Seed / Day One (teils vor Gruendung), begleitet bis Series A</t>
        </is>
      </c>
      <c r="I84" s="15" t="inlineStr">
        <is>
          <t>Ja - typischerweise erster institutioneller Check und Lead</t>
        </is>
      </c>
      <c r="J84" s="16" t="inlineStr">
        <is>
          <t>ca. 2 Mio. USD Erstticket (mit hoher Varianz); Entscheidung in '2 Meetings / 48 Stunden'</t>
        </is>
      </c>
      <c r="K84" s="16" t="inlineStr">
        <is>
          <t>Frst 3: 100 Mio. USD (2023); ca. 200 Mio. USD ueber drei Fonds, 70 Portfoliounternehmen</t>
        </is>
      </c>
      <c r="L84" s="15" t="inlineStr">
        <is>
          <t>Teilweise</t>
        </is>
      </c>
      <c r="M84" s="16" t="inlineStr">
        <is>
          <t>Backt aussergewoehnliche (vorwiegend franzoesische/europaeische) Gruender ab Tag null, generalistisch mit starkem AI-Schwerpunkt ueber Software, Biotech, Health, Defense, Financial Services</t>
        </is>
      </c>
      <c r="N84" s="16" t="inlineStr">
        <is>
          <t>poolside (Code-Foundation-Models), Owkin (Federated Learning fuer Biopharma), Bioptimus (Bio-Foundation-Models), Attention, Helical, Pigment</t>
        </is>
      </c>
      <c r="O84" s="16" t="inlineStr">
        <is>
          <t>Kein Labeling-/Annotation-Investment nachweisbar; die Foundation-Model-Investments (poolside, Bioptimus) implizieren jedoch tiefes Verstaendnis fuer Trainingsdaten-Bottlenecks</t>
        </is>
      </c>
      <c r="P84" s="16" t="inlineStr">
        <is>
          <t>-</t>
        </is>
      </c>
      <c r="Q84" s="16" t="inlineStr">
        <is>
          <t>Pierre Entremont</t>
        </is>
      </c>
      <c r="R84" s="16" t="inlineStr">
        <is>
          <t>Co-Founder &amp; Partner; weiterer Co-Founder: Bruno Raillard; Samuel Fitoussi (Associate)</t>
        </is>
      </c>
      <c r="S84" s="16" t="inlineStr">
        <is>
          <t>n/a</t>
        </is>
      </c>
      <c r="T84" s="16" t="inlineStr">
        <is>
          <t>pierre@frst.vc, bruno@frst.vc; Kontaktformular auf frst.vc</t>
        </is>
      </c>
      <c r="U84" s="16" t="inlineStr">
        <is>
          <t>Extrem schneller Day-One-Lead mit 2-Mio.-USD-Erstticket und AI-lastigem Portfolio (poolside, Owkin, Bioptimus), aber der Fonds definiert sich ueber franzoesische Gruender und hat kein belegtes Data-Infrastruktur- oder Labeling-Investment.</t>
        </is>
      </c>
      <c r="V84" s="16" t="inlineStr">
        <is>
          <t>Starker Frankreich-Fokus, DACH ist nicht Kernmarkt; Fonds von 2023 bereits weitgehend allokiert, Nachfolgefonds nicht belegt; sehr selektiv (70 Investments in 3 Fonds)</t>
        </is>
      </c>
      <c r="W84" s="16" t="inlineStr">
        <is>
          <t>Kurze, direkte Mail an pierre@frst.vc mit dem poolside-/Bioptimus-Bezug: PathWize loest den Trainingsdaten-Engpass, an dem europaeische Foundation-Model-Teams haengen - passend zum '2 Meetings, 48 Stunden'-Format.</t>
        </is>
      </c>
      <c r="X84" s="18" t="n">
        <v>29</v>
      </c>
      <c r="Y84" s="18" t="n">
        <v>21</v>
      </c>
      <c r="Z84" s="18" t="n">
        <v>13</v>
      </c>
      <c r="AA84" s="18" t="n">
        <v>7</v>
      </c>
      <c r="AB84" s="18" t="n">
        <v>4</v>
      </c>
      <c r="AC84" s="15" t="inlineStr">
        <is>
          <t>Mittel</t>
        </is>
      </c>
      <c r="AD84" s="15" t="inlineStr">
        <is>
          <t>Bestandsliste</t>
        </is>
      </c>
      <c r="AE84" s="16" t="inlineStr">
        <is>
          <t>https://www.frst.vc/</t>
        </is>
      </c>
      <c r="AF84" s="16" t="inlineStr">
        <is>
          <t>https://www.frst.vc/</t>
        </is>
      </c>
    </row>
    <row r="85">
      <c r="A85" s="22" t="n">
        <v>81</v>
      </c>
      <c r="B85" s="23" t="inlineStr">
        <is>
          <t>Kfund</t>
        </is>
      </c>
      <c r="C85" s="20" t="inlineStr">
        <is>
          <t>B</t>
        </is>
      </c>
      <c r="D85" s="20" t="n">
        <v>74</v>
      </c>
      <c r="E85" s="15" t="inlineStr">
        <is>
          <t>Madrid</t>
        </is>
      </c>
      <c r="F85" s="15" t="inlineStr">
        <is>
          <t>Spanien</t>
        </is>
      </c>
      <c r="G85" s="18" t="inlineStr">
        <is>
          <t>VC</t>
        </is>
      </c>
      <c r="H85" s="16" t="inlineStr">
        <is>
          <t>Pre-Seed bis Series B</t>
        </is>
      </c>
      <c r="I85" s="18" t="inlineStr">
        <is>
          <t>Ja</t>
        </is>
      </c>
      <c r="J85" s="16" t="inlineStr">
        <is>
          <t>100 Tsd. bis 15 Mio. EUR</t>
        </is>
      </c>
      <c r="K85" s="16" t="inlineStr">
        <is>
          <t>ueber 500 Mio. EUR AUM; K3 (sechster Fonds) mit ca. 70 Mio. EUR / 75 Mio. USD</t>
        </is>
      </c>
      <c r="L85" s="18" t="inlineStr">
        <is>
          <t>Ja</t>
        </is>
      </c>
      <c r="M85" s="16" t="inlineStr">
        <is>
          <t>Multi-Stage-Fondsfamilie fuer Gruender in Suedeuropa (Spanien, Italien, Portugal) und LatAm; K3 adressiert explizit 'foundational technologies', 'data plays', 'platform layers' und AI</t>
        </is>
      </c>
      <c r="N85" s="16" t="inlineStr">
        <is>
          <t>K3 explizit auf AI- und Data-Plays ausgerichtet; Co-Investments u.a. mit a16z, Creandum, Atomico, CRV. Konkrete verifizierte Data-Infra-/Labeling-Namen: n/a</t>
        </is>
      </c>
      <c r="O85" s="16" t="inlineStr">
        <is>
          <t>Mittel bis hoch auf Thesenebene ('data plays' ist woertlich Teil der K3-These), aber kein belegtes Labeling-/Trainingsdaten-Investment auffindbar</t>
        </is>
      </c>
      <c r="P85" s="16" t="inlineStr">
        <is>
          <t>Data-Infra-nah</t>
        </is>
      </c>
      <c r="Q85" s="16" t="inlineStr">
        <is>
          <t>Inaki Arrola</t>
        </is>
      </c>
      <c r="R85" s="16" t="inlineStr">
        <is>
          <t>Co-Founder &amp; Managing Partner (alternativ Jaime Novoa, Partner, fuer Early-Stage-Deals)</t>
        </is>
      </c>
      <c r="S85" s="16" t="inlineStr">
        <is>
          <t>https://www.linkedin.com/in/inakiarrola</t>
        </is>
      </c>
      <c r="T85" s="16" t="inlineStr">
        <is>
          <t>E-Mail-Schema vorname@kfund.vc (z.B. jaime@kfund.vc); Team-Seite https://www.kfund.vc/team</t>
        </is>
      </c>
      <c r="U85" s="16" t="inlineStr">
        <is>
          <t>Thesenseitig einer der wenigen europaeischen Fonds, die 'data plays' woertlich als Investmentkategorie fuehren, und die Stage-Spanne Pre-Seed bis Series B passt exakt. Der geografische Mandatsfokus auf Suedeuropa und LatAm macht ein deutsches Startup jedoch zum Ausnahmefall.</t>
        </is>
      </c>
      <c r="V85" s="16" t="inlineStr">
        <is>
          <t>Klarer Suedeuropa-/LatAm-Mandatsfokus, DACH gehoert nicht zum Kernterritorium; konkrete AI-Infra-Portfolio-Belege oeffentlich duenn</t>
        </is>
      </c>
      <c r="W85" s="16" t="inlineStr">
        <is>
          <t>Ueber die K3-These 'data plays' einsteigen und PathWize als die Datenschicht positionieren, die europaeische AI-Modelle ueberhaupt trainierbar macht - inklusive Hinweis auf suedeuropaeische Delivery-/Annotator-Kapazitaeten als Bruecke zum Fondsmandat.</t>
        </is>
      </c>
      <c r="X85" s="18" t="n">
        <v>27</v>
      </c>
      <c r="Y85" s="18" t="n">
        <v>26</v>
      </c>
      <c r="Z85" s="18" t="n">
        <v>9</v>
      </c>
      <c r="AA85" s="18" t="n">
        <v>9</v>
      </c>
      <c r="AB85" s="18" t="n">
        <v>3</v>
      </c>
      <c r="AC85" s="15" t="inlineStr">
        <is>
          <t>Mittel</t>
        </is>
      </c>
      <c r="AD85" s="15" t="inlineStr">
        <is>
          <t>Bestandsliste</t>
        </is>
      </c>
      <c r="AE85" s="16" t="inlineStr">
        <is>
          <t>https://www.kfund.vc/</t>
        </is>
      </c>
      <c r="AF85" s="16" t="inlineStr">
        <is>
          <t>https://www.kfund.vc/post/k3-investing-in-the-next-generation-of-southern-european-founders-building-the-future-of-gdp, https://www.pymnts.com/news/investment-tracker/2024/spains-kfund-raises-75-million-for-ai-and-data-projects/, https://www.vestbee.com/insights/articles/kfund-raises-a-70-m-fund, https://www.kfund.vc/team</t>
        </is>
      </c>
    </row>
    <row r="86">
      <c r="A86" s="22" t="n">
        <v>82</v>
      </c>
      <c r="B86" s="23" t="inlineStr">
        <is>
          <t>Seedcamp</t>
        </is>
      </c>
      <c r="C86" s="20" t="inlineStr">
        <is>
          <t>B</t>
        </is>
      </c>
      <c r="D86" s="20" t="n">
        <v>74</v>
      </c>
      <c r="E86" s="15" t="inlineStr">
        <is>
          <t>London</t>
        </is>
      </c>
      <c r="F86" s="18" t="inlineStr">
        <is>
          <t>UK</t>
        </is>
      </c>
      <c r="G86" s="15" t="inlineStr">
        <is>
          <t>VC (Seed-Plattform mit Select-Vehikel)</t>
        </is>
      </c>
      <c r="H86" s="16" t="inlineStr">
        <is>
          <t>Erstcheck / Pre-Seed und Seed, auch pre-product, pre-revenue und pre-traction; Select-Vehikel fuer Follow-ons</t>
        </is>
      </c>
      <c r="I86" s="15" t="inlineStr">
        <is>
          <t>Teilweise - haeufig Erstcheck und Co-Investor, nicht durchgaengig Lead</t>
        </is>
      </c>
      <c r="J86" s="16" t="inlineStr">
        <is>
          <t>Erstchecks bis ca. 1 Mio. USD</t>
        </is>
      </c>
      <c r="K86" s="16" t="inlineStr">
        <is>
          <t>320 Mio. USD Fund-VII-Plattform (Juni 2026): 220 Mio. USD Early Stage plus 100 Mio. USD Select; 1 Mrd. USD AUM. Fund VI 180 Mio. USD (2023).</t>
        </is>
      </c>
      <c r="L86" s="15" t="inlineStr">
        <is>
          <t>Teilweise</t>
        </is>
      </c>
      <c r="M86" s="16" t="inlineStr">
        <is>
          <t>Sektor-agnostischer Erstcheck-Investor in 'foundational technologies'; Fund VII mit Schwerpunkt auf AI an der Schnittstelle zu Science und Physical World; zusaetzlich US-Expansion fuer Portfoliounternehmen</t>
        </is>
      </c>
      <c r="N86" s="16" t="inlineStr">
        <is>
          <t>ElevenLabs, Synthesia, UiPath (Exit), Dust (AI-Agenten), Sunrise Robotics, BioOrbit, Wise (Exit)</t>
        </is>
      </c>
      <c r="O86" s="16" t="inlineStr">
        <is>
          <t>Niedrig bis mittel - starkes AI-Anwendungsportfolio, aber kein Data-Infrastruktur- oder Labeling-Schwerpunkt</t>
        </is>
      </c>
      <c r="P86" s="16" t="inlineStr">
        <is>
          <t>-</t>
        </is>
      </c>
      <c r="Q86" s="16" t="inlineStr">
        <is>
          <t>Reshma Sohoni</t>
        </is>
      </c>
      <c r="R86" s="16" t="inlineStr">
        <is>
          <t>Mitgruenderin und Managing Partner; Carlos Espinal als Mitgruender/Managing Partner</t>
        </is>
      </c>
      <c r="S86" s="16" t="inlineStr">
        <is>
          <t>https://www.linkedin.com/in/reshmasohoni</t>
        </is>
      </c>
      <c r="T86" s="16" t="inlineStr">
        <is>
          <t>Bewerbungs-/Pitch-Formular auf seedcamp.com</t>
        </is>
      </c>
      <c r="U86" s="16" t="inlineStr">
        <is>
          <t>Sehr aktiver Erstcheck-Investor mit frischem 320-Mio.-USD-Fonds und europaweitem Zugang, aber sektor-agnostisch und ohne Data-Infrastruktur- oder Trainingsdaten-These - der Fit kommt aus der Stage, nicht aus der These.</t>
        </is>
      </c>
      <c r="V86" s="16" t="inlineStr">
        <is>
          <t>Kein Data-Infra-Fokus und kein Labeling-Investment im Portfolio; fuehrt Runden nicht zuverlaessig an; Fund VII lenkt Aufmerksamkeit Richtung Physical AI und US-Expansion; sehr hohe Deal-Anzahl bedeutet begrenzte Einzelbetreuung.</t>
        </is>
      </c>
      <c r="W86" s="16" t="inlineStr">
        <is>
          <t>Ueber das Bewerbungsformular mit einem AI-Infrastruktur-Winkel einreichen und die europaeische Souveraenitaets-/Compliance-Karte fuer Trainingsdaten spielen.</t>
        </is>
      </c>
      <c r="X86" s="18" t="n">
        <v>26</v>
      </c>
      <c r="Y86" s="18" t="n">
        <v>18</v>
      </c>
      <c r="Z86" s="18" t="n">
        <v>12</v>
      </c>
      <c r="AA86" s="18" t="n">
        <v>10</v>
      </c>
      <c r="AB86" s="18" t="n">
        <v>8</v>
      </c>
      <c r="AC86" s="15" t="inlineStr">
        <is>
          <t>Mittel</t>
        </is>
      </c>
      <c r="AD86" s="15" t="inlineStr">
        <is>
          <t>Bestandsliste</t>
        </is>
      </c>
      <c r="AE86" s="16" t="inlineStr">
        <is>
          <t>https://seedcamp.com/</t>
        </is>
      </c>
      <c r="AF86" s="16" t="inlineStr">
        <is>
          <t>https://techcrunch.com/2026/06/22/seedcamp-raises-320m-for-its-new-fund-to-expand-its-us-footprint/, https://www.eu-startups.com/2026/06/seedcamp-raises-e279-million-to-back-europes-next-generation-of-global-startups/, https://fundmomentum.vc/blog/seedcamp-fund-vii-select-320m-1b-aum-us-expansion-2026</t>
        </is>
      </c>
    </row>
    <row r="87">
      <c r="A87" s="22" t="n">
        <v>83</v>
      </c>
      <c r="B87" s="23" t="inlineStr">
        <is>
          <t>U2V (Earlybird-X Spin-out)</t>
        </is>
      </c>
      <c r="C87" s="20" t="inlineStr">
        <is>
          <t>B</t>
        </is>
      </c>
      <c r="D87" s="20" t="n">
        <v>74</v>
      </c>
      <c r="E87" s="15" t="inlineStr">
        <is>
          <t>Berlin (weitere Standorte Aachen, London)</t>
        </is>
      </c>
      <c r="F87" s="15" t="inlineStr">
        <is>
          <t>Deutschland</t>
        </is>
      </c>
      <c r="G87" s="18" t="inlineStr">
        <is>
          <t>VC</t>
        </is>
      </c>
      <c r="H87" s="16" t="inlineStr">
        <is>
          <t>Pre-Seed &amp; Seed</t>
        </is>
      </c>
      <c r="I87" s="18" t="inlineStr">
        <is>
          <t>Ja</t>
        </is>
      </c>
      <c r="J87" s="16" t="inlineStr">
        <is>
          <t>n/a; ca. 25 Investments aus einem 60-Mio.-EUR-Fonds geplant (rechnerisch im niedrigen einstelligen Mio.-Bereich)</t>
        </is>
      </c>
      <c r="K87" s="16" t="inlineStr">
        <is>
          <t>60 Mio. EUR / ca. 70 Mio. USD (Fund I, First Close Dezember 2025)</t>
        </is>
      </c>
      <c r="L87" s="15" t="inlineStr">
        <is>
          <t>Teilweise</t>
        </is>
      </c>
      <c r="M87" s="16" t="inlineStr">
        <is>
          <t>Deep-Tech-Spin-offs europaeischer Technischer Universitaeten (ETH Zuerich, TUM, RWTH Aachen, Oxford, Cambridge, Imperial College, Ecole Polytechnique) in AI &amp; Novel Computing, IndustrialTech und CleanTech</t>
        </is>
      </c>
      <c r="N87" s="16" t="inlineStr">
        <is>
          <t>Fund I noch im Aufbau; Track Record des Teams aus Earlybird-X u.a. LiveEO (Satellitendaten-Analytics), Twaice (Battery Analytics), Quantum Diamonds, Certivity</t>
        </is>
      </c>
      <c r="O87" s="16" t="inlineStr">
        <is>
          <t>Niedrig bis mittel - AI ist Kernkategorie, aber der Fokus liegt auf Novel Computing und Hardware-naher Forschung, nicht auf Datenservices</t>
        </is>
      </c>
      <c r="P87" s="16" t="inlineStr">
        <is>
          <t>-</t>
        </is>
      </c>
      <c r="Q87" s="16" t="inlineStr">
        <is>
          <t>Dr. Philipp Semmer</t>
        </is>
      </c>
      <c r="R87" s="16" t="inlineStr">
        <is>
          <t>Founding Partner (weitere Founding Partners: Michael Schmitt, Johannes Triebs)</t>
        </is>
      </c>
      <c r="S87" s="16" t="inlineStr">
        <is>
          <t>https://de.linkedin.com/in/philippsemmer</t>
        </is>
      </c>
      <c r="T87" s="16" t="inlineStr">
        <is>
          <t>Website https://www.u2v.vc/ (Kontaktseite); Partner ueber LinkedIn direkt erreichbar</t>
        </is>
      </c>
      <c r="U87" s="16" t="inlineStr">
        <is>
          <t>Frischer 60-Mio.-Fonds mit reinem Pre-Seed-/Seed-Mandat, deutschem Sitz und AI als einer von drei Kernkategorien - stage- und geo-seitig ein sehr guter Fit. Kritisch ist das enge Spin-out-Mandat: ohne universitaeren Forschungsursprung faellt PathWize weitgehend aus dem Investitionsraster.</t>
        </is>
      </c>
      <c r="V87" s="16" t="inlineStr">
        <is>
          <t>Hartes Mandat auf Universitaets-Spin-offs; AI-Verstaendnis eher Novel Computing / Deep-Tech-Forschung als Data-Services; Fonds sehr neu, kein eigener Track Record</t>
        </is>
      </c>
      <c r="W87" s="16" t="inlineStr">
        <is>
          <t>Nur sinnvoll mit einem belegbaren Forschungsanker (z.B. RWTH-/TUM-Kooperation oder wissenschaftliche Publikation zur Annotationsqualitaet) - dann PathWize als Datenschicht fuer die AI-Spin-offs des eigenen Portfolios positionieren.</t>
        </is>
      </c>
      <c r="X87" s="18" t="n">
        <v>28</v>
      </c>
      <c r="Y87" s="18" t="n">
        <v>18</v>
      </c>
      <c r="Z87" s="18" t="n">
        <v>9</v>
      </c>
      <c r="AA87" s="18" t="n">
        <v>9</v>
      </c>
      <c r="AB87" s="18" t="n">
        <v>10</v>
      </c>
      <c r="AC87" s="15" t="inlineStr">
        <is>
          <t>Mittel</t>
        </is>
      </c>
      <c r="AD87" s="15" t="inlineStr">
        <is>
          <t>Bestandsliste</t>
        </is>
      </c>
      <c r="AE87" s="16" t="inlineStr">
        <is>
          <t>https://www.u2v.vc/</t>
        </is>
      </c>
      <c r="AF87" s="16" t="inlineStr">
        <is>
          <t>https://www.eu-startups.com/2025/12/earlybird-x-spin-off-u2v-launches-e60-million-fund-back-deeptech-startups-from-european-tech-universities/, https://sifted.eu/articles/earlybird-partners-launch-u2v-spinout-fund, https://tech.eu/2025/12/10/u2v-launches-eur60m-fund-for-deep-tech-university-spin-offs-in-europe/</t>
        </is>
      </c>
    </row>
    <row r="88">
      <c r="A88" s="22" t="n">
        <v>84</v>
      </c>
      <c r="B88" s="23" t="inlineStr">
        <is>
          <t>United Ventures</t>
        </is>
      </c>
      <c r="C88" s="20" t="inlineStr">
        <is>
          <t>B</t>
        </is>
      </c>
      <c r="D88" s="20" t="n">
        <v>74</v>
      </c>
      <c r="E88" s="15" t="inlineStr">
        <is>
          <t>Mailand</t>
        </is>
      </c>
      <c r="F88" s="15" t="inlineStr">
        <is>
          <t>Italien</t>
        </is>
      </c>
      <c r="G88" s="18" t="inlineStr">
        <is>
          <t>VC</t>
        </is>
      </c>
      <c r="H88" s="16" t="inlineStr">
        <is>
          <t>Seed und Series A (Early Stage)</t>
        </is>
      </c>
      <c r="I88" s="15" t="inlineStr">
        <is>
          <t>Ja - fuehrte u.a. die Runden von IdentifAI und Aindo an</t>
        </is>
      </c>
      <c r="J88" s="16" t="inlineStr">
        <is>
          <t>1-8 Mio. EUR Erstticket (United Ventures III); Sweet Spot ca. 1-2,5 Mio. EUR</t>
        </is>
      </c>
      <c r="K88" s="16" t="inlineStr">
        <is>
          <t>United Ventures III: 150 Mio. EUR (Launch 2023), Ziel 15-18 Investments; 56 Investments insgesamt</t>
        </is>
      </c>
      <c r="L88" s="15" t="inlineStr">
        <is>
          <t>Teilweise</t>
        </is>
      </c>
      <c r="M88" s="16" t="inlineStr">
        <is>
          <t>Italienische und europaeische Software- und Deep-Tech-Unternehmen mit globaler Ambition; Enterprise Software, Cybersecurity, Fintech, digitale Plattformen</t>
        </is>
      </c>
      <c r="N88" s="16" t="inlineStr">
        <is>
          <t>Aindo (synthetische Datengenerierung fuer AI-Training, Series A 6 Mio. EUR gefuehrt von United Ventures), IdentifAI (Deepfake-Erkennung, Seed 2,2 Mio. + 5 Mio. EUR), Musixmatch, FaceIt, Moneyfarm</t>
        </is>
      </c>
      <c r="O88" s="16" t="inlineStr">
        <is>
          <t>Hoch relevant: Aindo ist ein Trainingsdaten-Investment (synthetische Daten statt Human-in-the-loop) - der Fonds versteht die Trainingsdaten-Wertschoepfung, koennte darin aber auch ein Portfolio-Konkurrenzthema sehen</t>
        </is>
      </c>
      <c r="P88" s="16" t="inlineStr">
        <is>
          <t>Data-Infra-nah</t>
        </is>
      </c>
      <c r="Q88" s="16" t="inlineStr">
        <is>
          <t>Massimiliano Magrini</t>
        </is>
      </c>
      <c r="R88" s="16" t="inlineStr">
        <is>
          <t>Co-Founder &amp; Managing Partner (zuvor Country Manager Google Italien und AltaVista)</t>
        </is>
      </c>
      <c r="S88" s="16" t="inlineStr">
        <is>
          <t>n/a</t>
        </is>
      </c>
      <c r="T88" s="16" t="inlineStr">
        <is>
          <t>Kontaktformular auf unitedventures.com; keine oeffentliche Pitch-E-Mail belegbar</t>
        </is>
      </c>
      <c r="U88" s="16" t="inlineStr">
        <is>
          <t>Mit Aindo hat United Ventures ein belegtes Trainingsdaten-Investment und mit IdentifAI ein AI-Investment gefuehrt, agiert aber ueberwiegend im italienischen Ecosystem - deutsche Startups sind die Ausnahme, nicht die Regel.</t>
        </is>
      </c>
      <c r="V88" s="16" t="inlineStr">
        <is>
          <t>Klarer Italien-Schwerpunkt trotz 'europaeischem' Anspruch; Aindo (synthetische Daten) kann als konkurrierende Portfolio-Position gewertet werden; Fonds von 2023 bereits teilweise allokiert</t>
        </is>
      </c>
      <c r="W88" s="16" t="inlineStr">
        <is>
          <t>Ueber die Aindo-These einsteigen: synthetische Daten und Human-in-the-loop-Labeling sind komplementaer, PathWize liefert den Qualitaets-Layer, den rein synthetische Pipelines nicht abdecken.</t>
        </is>
      </c>
      <c r="X88" s="18" t="n">
        <v>27</v>
      </c>
      <c r="Y88" s="18" t="n">
        <v>19</v>
      </c>
      <c r="Z88" s="18" t="n">
        <v>15</v>
      </c>
      <c r="AA88" s="18" t="n">
        <v>8</v>
      </c>
      <c r="AB88" s="18" t="n">
        <v>5</v>
      </c>
      <c r="AC88" s="15" t="inlineStr">
        <is>
          <t>Mittel</t>
        </is>
      </c>
      <c r="AD88" s="15" t="inlineStr">
        <is>
          <t>Bestandsliste</t>
        </is>
      </c>
      <c r="AE88" s="16" t="inlineStr">
        <is>
          <t>https://unitedventures.com/</t>
        </is>
      </c>
      <c r="AF88" s="16" t="inlineStr">
        <is>
          <t>https://unitedventures.com/, https://www.eu-startups.com/2023/07/milan-based-united-ventures-launches-its-latest-e150-million-early-stage-fund-to-invest-in-up-to-18-european-startups/, https://www.startupreporter.eu/italian-startup-aindo-synthetic-data-technology/, https://www.vestbee.com/insights/articles/identif-ai-raises-5-m</t>
        </is>
      </c>
    </row>
    <row r="89">
      <c r="A89" s="22" t="n">
        <v>85</v>
      </c>
      <c r="B89" s="23" t="inlineStr">
        <is>
          <t>IQ Capital</t>
        </is>
      </c>
      <c r="C89" s="20" t="inlineStr">
        <is>
          <t>B</t>
        </is>
      </c>
      <c r="D89" s="20" t="n">
        <v>73</v>
      </c>
      <c r="E89" s="15" t="inlineStr">
        <is>
          <t>Cambridge / London</t>
        </is>
      </c>
      <c r="F89" s="18" t="inlineStr">
        <is>
          <t>UK</t>
        </is>
      </c>
      <c r="G89" s="15" t="inlineStr">
        <is>
          <t>VC (Early Stage Fund + Growth Fund)</t>
        </is>
      </c>
      <c r="H89" s="16" t="inlineStr">
        <is>
          <t>Seed und Series A (Fund IV); separater Growth-Fonds fuer spaetere Runden</t>
        </is>
      </c>
      <c r="I89" s="15" t="inlineStr">
        <is>
          <t>Ja - fuehrt Seed- und Series-A-Runden an (z.B. Gravis Robotics 23 Mio. USD, Nov 2025)</t>
        </is>
      </c>
      <c r="J89" s="16" t="inlineStr">
        <is>
          <t>ca. 2,5 Mio. USD im Seed, bis 5 Mio. USD in kapitalintensiven Feldern</t>
        </is>
      </c>
      <c r="K89" s="16" t="inlineStr">
        <is>
          <t>200 Mio. USD (Fund IV, Final Close) plus 200 Mio. USD Growth Fund II; ueber 1 Mrd. USD AUM</t>
        </is>
      </c>
      <c r="L89" s="15" t="inlineStr">
        <is>
          <t>Teilweise</t>
        </is>
      </c>
      <c r="M89" s="16" t="inlineStr">
        <is>
          <t>Deep Tech mit verteidigbarem IP: Generative AI, Advanced Engineering und neue Materialien, Space Tech, Quantum Hardware und Algorithmen, Cyber und Data Security, Synthetic Biology; starkes Cambridge-/Academic-Sourcing</t>
        </is>
      </c>
      <c r="N89" s="16" t="inlineStr">
        <is>
          <t>Speechmatics (Speech-AI), Synthesized (synthetische Testdaten), Fluidstack (GPU-Infra), DreamFold, Nu Quantum, Gravis Robotics</t>
        </is>
      </c>
      <c r="O89" s="16" t="inlineStr">
        <is>
          <t>Mittel - datenbezogene Investments vorhanden (Synthesized, Speechmatics), aber kein Labeling-/Annotation-Investment und keine Data-Infra-These im engeren Sinn</t>
        </is>
      </c>
      <c r="P89" s="16" t="inlineStr">
        <is>
          <t>-</t>
        </is>
      </c>
      <c r="Q89" s="16" t="inlineStr">
        <is>
          <t>n/a</t>
        </is>
      </c>
      <c r="R89" s="16" t="inlineStr">
        <is>
          <t>n/a - kein oeffentlich benannter Partner mit Data-Infrastruktur- oder MLOps-Remit auffindbar; Kerry Baldwin und Max Bautin als Mitgruender/General Partner</t>
        </is>
      </c>
      <c r="S89" s="16" t="inlineStr">
        <is>
          <t>n/a</t>
        </is>
      </c>
      <c r="T89" s="16" t="inlineStr">
        <is>
          <t>Kontaktformular auf iqcapital.vc</t>
        </is>
      </c>
      <c r="U89" s="16" t="inlineStr">
        <is>
          <t>Kapitalstarker und aktiver Seed-/Series-A-Deep-Tech-Fonds, dessen These aber auf verteidigbares technisches IP (Quantum, Materials, Space) zielt - ein Human-in-the-loop-Labeling-Geschaeft passt nur am Rand.</t>
        </is>
      </c>
      <c r="V89" s="16" t="inlineStr">
        <is>
          <t>Kein Data-Infra- oder MLOps-Partner benennbar; Schwerpunkt auf UK-/Cambridge-Sourcing mit wenig DACH-Aktivitaet; Labeling ist operativ und arbeitsintensiv, nicht das IP-Profil, das IQ Capital sucht.</t>
        </is>
      </c>
      <c r="W89" s="16" t="inlineStr">
        <is>
          <t>Nur mit einem klaren IP- und Automatisierungsnarrativ ansprechen: proprietaere Qualitaets- und Active-Learning-Technologie statt reiner Annotations-Dienstleistung.</t>
        </is>
      </c>
      <c r="X89" s="18" t="n">
        <v>27</v>
      </c>
      <c r="Y89" s="18" t="n">
        <v>18</v>
      </c>
      <c r="Z89" s="18" t="n">
        <v>13</v>
      </c>
      <c r="AA89" s="18" t="n">
        <v>9</v>
      </c>
      <c r="AB89" s="18" t="n">
        <v>6</v>
      </c>
      <c r="AC89" s="15" t="inlineStr">
        <is>
          <t>Mittel</t>
        </is>
      </c>
      <c r="AD89" s="15" t="inlineStr">
        <is>
          <t>Bestandsliste</t>
        </is>
      </c>
      <c r="AE89" s="16" t="inlineStr">
        <is>
          <t>https://www.iqcapital.vc/</t>
        </is>
      </c>
      <c r="AF89" s="16" t="inlineStr">
        <is>
          <t>https://www.iqcapital.vc/, https://www.iqcapital.vc/news/iq-capital-raises-400m-to-invest-in-transformative-deep-tech-companies, https://sifted.eu/articles/iq-capital-200m-deeptech-fund-news, https://www.uktech.news/funding/vc-funding/iq-capital-fund-20230605</t>
        </is>
      </c>
    </row>
    <row r="90">
      <c r="A90" s="22" t="n">
        <v>86</v>
      </c>
      <c r="B90" s="23" t="inlineStr">
        <is>
          <t>PSV Tech</t>
        </is>
      </c>
      <c r="C90" s="20" t="inlineStr">
        <is>
          <t>B</t>
        </is>
      </c>
      <c r="D90" s="20" t="n">
        <v>73</v>
      </c>
      <c r="E90" s="15" t="inlineStr">
        <is>
          <t>Kongens Lyngby / Kopenhagen</t>
        </is>
      </c>
      <c r="F90" s="15" t="inlineStr">
        <is>
          <t>Daenemark</t>
        </is>
      </c>
      <c r="G90" s="18" t="inlineStr">
        <is>
          <t>VC</t>
        </is>
      </c>
      <c r="H90" s="16" t="inlineStr">
        <is>
          <t>Pre-Seed (pre-PMF), teilweise Seed</t>
        </is>
      </c>
      <c r="I90" s="15" t="inlineStr">
        <is>
          <t>Ja (typischer Lead in Pre-Seed-Runden)</t>
        </is>
      </c>
      <c r="J90" s="16" t="inlineStr">
        <is>
          <t>100 Tsd. bis 1,5 Mio. EUR</t>
        </is>
      </c>
      <c r="K90" s="16" t="inlineStr">
        <is>
          <t>70 Mio. EUR (PSV Tech Fund II, Launch Mai 2025)</t>
        </is>
      </c>
      <c r="L90" s="18" t="inlineStr">
        <is>
          <t>Ja</t>
        </is>
      </c>
      <c r="M90" s="16" t="inlineStr">
        <is>
          <t>Nordische Gruender in AI, Software und digitaler Infrastruktur vor Product-Market-Fit; uebergeordnete These europaeische technologische Souveraenitaet und Resilienz; angesiedelt an der DTU</t>
        </is>
      </c>
      <c r="N90" s="16" t="inlineStr">
        <is>
          <t>Fund II noch jung; Fund-I-Referenzen u.a. Helloflow, Heyhack. Verifizierte AI-Data-Infra-Namen: n/a</t>
        </is>
      </c>
      <c r="O90" s="16" t="inlineStr">
        <is>
          <t>Mittel - 'digitale Infrastruktur' und AI sind explizite Kategorien, aber kein Labeling-/Trainingsdaten-Investment belegbar</t>
        </is>
      </c>
      <c r="P90" s="16" t="inlineStr">
        <is>
          <t>Data-Infra-nah</t>
        </is>
      </c>
      <c r="Q90" s="16" t="inlineStr">
        <is>
          <t>Christel Piron</t>
        </is>
      </c>
      <c r="R90" s="16" t="inlineStr">
        <is>
          <t>General Partner / CEO (weitere GPs: Helle Uth, Richard Breiter, Alexander Viterbo-Horten)</t>
        </is>
      </c>
      <c r="S90" s="16" t="inlineStr">
        <is>
          <t>https://dk.linkedin.com/in/christelpiron</t>
        </is>
      </c>
      <c r="T90" s="16" t="inlineStr">
        <is>
          <t>Website https://www.psv.xyz/ (Kontaktseite), Telefon +45 7734 0755, Adresse Diplomvej 381, 2800 Kongens Lyngby</t>
        </is>
      </c>
      <c r="U90" s="16" t="inlineStr">
        <is>
          <t>These 'AI, Software und digitale Infrastruktur mit europaeischer Souveraenitaet' trifft die PathWize-Positionierung fast woertlich, und der frisch aufgelegte 70-Mio.-Fonds sucht aktiv Pre-Seed-Deals. Der Fonds investiert jedoch dezidiert in nordische Gruender, was DACH ausschliesst.</t>
        </is>
      </c>
      <c r="V90" s="16" t="inlineStr">
        <is>
          <t>Explizites Nordics-Mandat (Daenemark/Nordeuropa), DACH ausserhalb des Fokus; Fund II hat noch kaum sichtbaren Track Record</t>
        </is>
      </c>
      <c r="W90" s="16" t="inlineStr">
        <is>
          <t>Ueber die Souveraenitaetsthese ansprechen: europaeische Trainingsdaten-Infrastruktur als Voraussetzung fuer nordische AI-Modelle - und pruefen, ob eine nordische Entitaet oder ein Co-Investment-Setup das Mandat oeffnet.</t>
        </is>
      </c>
      <c r="X90" s="18" t="n">
        <v>26</v>
      </c>
      <c r="Y90" s="18" t="n">
        <v>27</v>
      </c>
      <c r="Z90" s="18" t="n">
        <v>8</v>
      </c>
      <c r="AA90" s="18" t="n">
        <v>9</v>
      </c>
      <c r="AB90" s="18" t="n">
        <v>3</v>
      </c>
      <c r="AC90" s="15" t="inlineStr">
        <is>
          <t>Mittel</t>
        </is>
      </c>
      <c r="AD90" s="15" t="inlineStr">
        <is>
          <t>Bestandsliste</t>
        </is>
      </c>
      <c r="AE90" s="16" t="inlineStr">
        <is>
          <t>https://www.psv.xyz/</t>
        </is>
      </c>
      <c r="AF90" s="16" t="inlineStr">
        <is>
          <t>https://www.psv.xyz/stories/psv-tech-fund-ii-backing-the-next-wave-of-nordic-tech-giants, https://www.eu-startups.com/2025/05/danish-investor-psv-tech-launches-a-e70-million-fund-ii-to-support-the-next-tech-giants-of-the-nordics/, https://siliconcanals.com/psv-tech-launches-fund-ii/, https://www.psv.xyz/</t>
        </is>
      </c>
    </row>
    <row r="91">
      <c r="A91" s="22" t="n">
        <v>87</v>
      </c>
      <c r="B91" s="23" t="inlineStr">
        <is>
          <t>Lakestar</t>
        </is>
      </c>
      <c r="C91" s="20" t="inlineStr">
        <is>
          <t>B</t>
        </is>
      </c>
      <c r="D91" s="20" t="n">
        <v>72</v>
      </c>
      <c r="E91" s="15" t="inlineStr">
        <is>
          <t>Zürich / Berlin / London</t>
        </is>
      </c>
      <c r="F91" s="15" t="inlineStr">
        <is>
          <t>Schweiz / Deutschland</t>
        </is>
      </c>
      <c r="G91" s="15" t="inlineStr">
        <is>
          <t>Multi-Stage Venture Capital</t>
        </is>
      </c>
      <c r="H91" s="16" t="inlineStr">
        <is>
          <t>Seed, Series A bis Growth (Early- und Growth-Fonds getrennt)</t>
        </is>
      </c>
      <c r="I91" s="18" t="inlineStr">
        <is>
          <t>Ja</t>
        </is>
      </c>
      <c r="J91" s="16" t="inlineStr">
        <is>
          <t>Early-Stage typ. 1-10 Mio. EUR, Growth deutlich höher (nicht offiziell publiziert)</t>
        </is>
      </c>
      <c r="K91" s="16" t="inlineStr">
        <is>
          <t>über 6 Mrd. USD AUM; 2026 neuer Fonds über ca. 300 Mio. USD für europäische Tech-Souveränität</t>
        </is>
      </c>
      <c r="L91" s="15" t="inlineStr">
        <is>
          <t>Teilweise</t>
        </is>
      </c>
      <c r="M91" s="16" t="inlineStr">
        <is>
          <t>Sektor-definierende Unternehmen in kritischen Technologien mit Fokus auf europäische Souveränität; historisch Fintech, Deep Tech, AI, Marktplätze, Mobility; zuletzt Verschiebung zu Defense, Aerospace und industrieller Resilienz</t>
        </is>
      </c>
      <c r="N91" s="16" t="inlineStr">
        <is>
          <t>Helsing (AI/Defense), Isar Aerospace, Revolut, Klarna, SumUp, Spotify, Coinbase; AI wird als Sektor genannt, dedizierte Data-Infra-/MLOps-Investments sind nicht belegbar</t>
        </is>
      </c>
      <c r="O91" s="16" t="inlineStr">
        <is>
          <t>Mittel - AI ist Teil der These und Helsing arbeitet stark datengetrieben, aber es gibt kein belegtes Investment in Labeling, Annotation oder Trainingsdaten-Infrastruktur</t>
        </is>
      </c>
      <c r="P91" s="16" t="inlineStr">
        <is>
          <t>Data-Infra-nah</t>
        </is>
      </c>
      <c r="Q91" s="16" t="inlineStr">
        <is>
          <t>Nicolas Brand</t>
        </is>
      </c>
      <c r="R91" s="16" t="inlineStr">
        <is>
          <t>Managing Partner, Fokus Deep Tech</t>
        </is>
      </c>
      <c r="S91" s="16" t="inlineStr">
        <is>
          <t>n/a</t>
        </is>
      </c>
      <c r="T91" s="16" t="inlineStr">
        <is>
          <t>https://www.lakestar.com/ (Kontaktseite; keine öffentliche Pitch-Mail publiziert)</t>
        </is>
      </c>
      <c r="U91" s="16" t="inlineStr">
        <is>
          <t>Lakestar investiert aktiv ab Seed/Series A in DACH, nennt AI und Deep Tech explizit in der These und hat mit dem 2026er Souveränitätsfonds frisches Kapital. Der zuletzt starke Schwenk auf Defense, Aerospace und industrielle Resilienz macht ein reines Data-Labeling-Geschäftsmodell aber zu einem Randthema.</t>
        </is>
      </c>
      <c r="V91" s="16" t="inlineStr">
        <is>
          <t>Strategische Verschiebung Richtung Defense/Aerospace und größere, konzentrierte Tickets; kein belegtes Data-Infra-/MLOps-Portfolio; Frühphase ist nicht mehr Kernfokus</t>
        </is>
      </c>
      <c r="W91" s="16" t="inlineStr">
        <is>
          <t>PathWize als souveränitätsrelevante europäische Trainingsdaten-Infrastruktur positionieren, die europäischen Foundation-Model- und Defense-AI-Teams (Helsing-Umfeld) unabhängig von US-Labeling-Anbietern macht.</t>
        </is>
      </c>
      <c r="X91" s="18" t="n">
        <v>24</v>
      </c>
      <c r="Y91" s="18" t="n">
        <v>19</v>
      </c>
      <c r="Z91" s="18" t="n">
        <v>10</v>
      </c>
      <c r="AA91" s="18" t="n">
        <v>9</v>
      </c>
      <c r="AB91" s="18" t="n">
        <v>10</v>
      </c>
      <c r="AC91" s="15" t="inlineStr">
        <is>
          <t>Mittel</t>
        </is>
      </c>
      <c r="AD91" s="15" t="inlineStr">
        <is>
          <t>Bestandsliste</t>
        </is>
      </c>
      <c r="AE91" s="16" t="inlineStr">
        <is>
          <t>https://www.lakestar.com/</t>
        </is>
      </c>
      <c r="AF91" s="16" t="inlineStr">
        <is>
          <t>https://www.lakestar.com/, https://www.pymnts.com/news/investment-tracker/2026/vc-firm-lakestar-raises-300-million-to-fund-european-tech-sovereignty/, https://www.crunchbase.com/organization/lakestar, https://tracxn.com/d/venture-capital/lakestar</t>
        </is>
      </c>
    </row>
    <row r="92">
      <c r="A92" s="22" t="n">
        <v>88</v>
      </c>
      <c r="B92" s="23" t="inlineStr">
        <is>
          <t>Plural</t>
        </is>
      </c>
      <c r="C92" s="20" t="inlineStr">
        <is>
          <t>B</t>
        </is>
      </c>
      <c r="D92" s="20" t="n">
        <v>72</v>
      </c>
      <c r="E92" s="15" t="inlineStr">
        <is>
          <t>London</t>
        </is>
      </c>
      <c r="F92" s="15" t="inlineStr">
        <is>
          <t>Vereinigtes Königreich</t>
        </is>
      </c>
      <c r="G92" s="15" t="inlineStr">
        <is>
          <t>VC (Gründer-geführter Fonds; Team aus erfahrenen Unternehmern)</t>
        </is>
      </c>
      <c r="H92" s="16" t="inlineStr">
        <is>
          <t>Frühphase - Pre-Seed bis Series A, mit großen Erstschecks</t>
        </is>
      </c>
      <c r="I92" s="18" t="inlineStr">
        <is>
          <t>Ja</t>
        </is>
      </c>
      <c r="J92" s="16" t="inlineStr">
        <is>
          <t>n/a</t>
        </is>
      </c>
      <c r="K92" s="16" t="inlineStr">
        <is>
          <t>n/a</t>
        </is>
      </c>
      <c r="L92" s="15" t="inlineStr">
        <is>
          <t>Teilweise</t>
        </is>
      </c>
      <c r="M92" s="16" t="inlineStr">
        <is>
          <t>Investiert in ambitionierte, technisch schwierige europäische Unternehmen mit systemischer Wirkung ('serious founders deserve investors with company-building experience to match their ambition'). Schwerpunkte: Deep Tech, Verteidigung/Sicherheit, Energie, Robotik, AI.</t>
        </is>
      </c>
      <c r="N92" s="16" t="inlineStr">
        <is>
          <t>Helsing (AI für Verteidigung, München - stark auf annotierte Sensor-/Bilddaten angewiesen), Proxima Fusion (München), Monumental (Robotik), Teton (AI-Pflegeüberwachung), Hypersonica, TEC - Website-belegt.</t>
        </is>
      </c>
      <c r="O92" s="16" t="inlineStr">
        <is>
          <t>Mittel bis hoch. Helsing und Teton sind unmittelbar auf hochwertige, oft sicherheitskritische Datenannotation angewiesen. Eine explizite Data-Infrastruktur-These fehlt jedoch; Plural investiert eher in Anwendungs- und Hardware-nahe Deep Tech.</t>
        </is>
      </c>
      <c r="P92" s="16" t="inlineStr">
        <is>
          <t>-</t>
        </is>
      </c>
      <c r="Q92" s="16" t="inlineStr">
        <is>
          <t>Ian Hogarth</t>
        </is>
      </c>
      <c r="R92" s="16" t="inlineStr">
        <is>
          <t>Co-Founder / Partner (Mitautor des 'State of AI Report', sehr AI-affines Profil; nicht in dieser Recherche über die Website verifiziert)</t>
        </is>
      </c>
      <c r="S92" s="16" t="inlineStr">
        <is>
          <t>n/a</t>
        </is>
      </c>
      <c r="T92" s="16" t="inlineStr">
        <is>
          <t>Über https://www.pluralplatform.com/ (Kontakt- und Investorenportal)</t>
        </is>
      </c>
      <c r="U92" s="16" t="inlineStr">
        <is>
          <t>Sehr AI-kompetentes Partnerteam und starker DACH-Bezug über Helsing und Proxima Fusion (beide München). Investiert in der richtigen Frühphase mit substanziellen Erstschecks. Der Fokus liegt allerdings auf 'harter' Deep Tech (Verteidigung, Fusion, Robotik) und weniger auf Daten- und Service-Infrastruktur.</t>
        </is>
      </c>
      <c r="V92" s="16" t="inlineStr">
        <is>
          <t>Keine öffentlichen Angaben zu Fonds- oder Ticketgröße. Portfolio deutlich hardware- und verteidigungslastig; ein dienstleistungsnahes Labeling-Modell könnte als zu wenig 'deep' bewertet werden. Kleines Team, sehr selektiv, kaum Cold-Inbound-Kanal.</t>
        </is>
      </c>
      <c r="W92" s="16" t="inlineStr">
        <is>
          <t>Über Helsing-Narrativ ansprechen: europäische souveräne AI benötigt sicherheitsgeprüfte, in der EU verarbeitete Annotationskapazität - inklusive Möglichkeit von Clearance-/Vertraulichkeitsprozessen. Damit wird Data Labeling zur strategischen Infrastruktur statt zur Dienstleistung.</t>
        </is>
      </c>
      <c r="X92" s="18" t="n">
        <v>25</v>
      </c>
      <c r="Y92" s="18" t="n">
        <v>20</v>
      </c>
      <c r="Z92" s="18" t="n">
        <v>11</v>
      </c>
      <c r="AA92" s="18" t="n">
        <v>9</v>
      </c>
      <c r="AB92" s="18" t="n">
        <v>7</v>
      </c>
      <c r="AC92" s="15" t="inlineStr">
        <is>
          <t>Mittel</t>
        </is>
      </c>
      <c r="AD92" s="15" t="inlineStr">
        <is>
          <t>NEU – Recherche-Ergaenzung</t>
        </is>
      </c>
      <c r="AE92" s="16" t="inlineStr">
        <is>
          <t>https://www.pluralplatform.com/</t>
        </is>
      </c>
      <c r="AF92" s="16" t="inlineStr">
        <is>
          <t>https://www.pluralplatform.com/</t>
        </is>
      </c>
    </row>
    <row r="93">
      <c r="A93" s="22" t="n">
        <v>89</v>
      </c>
      <c r="B93" s="23" t="inlineStr">
        <is>
          <t>Vsquared Ventures</t>
        </is>
      </c>
      <c r="C93" s="20" t="inlineStr">
        <is>
          <t>B</t>
        </is>
      </c>
      <c r="D93" s="20" t="n">
        <v>72</v>
      </c>
      <c r="E93" s="15" t="inlineStr">
        <is>
          <t>Muenchen (+ London)</t>
        </is>
      </c>
      <c r="F93" s="18" t="inlineStr">
        <is>
          <t>DE</t>
        </is>
      </c>
      <c r="G93" s="15" t="inlineStr">
        <is>
          <t>VC (Deep Tech)</t>
        </is>
      </c>
      <c r="H93" s="16" t="inlineStr">
        <is>
          <t>Pre-Seed / Seed / Early Stage, fuehrt Runden an; Follow-ons bis Series A+</t>
        </is>
      </c>
      <c r="I93" s="15" t="inlineStr">
        <is>
          <t>Ja - conviction-getrieben, fuehrt Seed-Runden regelmaessig an</t>
        </is>
      </c>
      <c r="J93" s="16" t="inlineStr">
        <is>
          <t>n/a (nicht oeffentlich; typisch einstellige Mio. EUR im Seed)</t>
        </is>
      </c>
      <c r="K93" s="16" t="inlineStr">
        <is>
          <t>Fund II 214 Mio. EUR (Jun 2024); insgesamt 3 Fonds, ca. 530 Mio. USD kumuliert</t>
        </is>
      </c>
      <c r="L93" s="15" t="inlineStr">
        <is>
          <t>Teilweise</t>
        </is>
      </c>
      <c r="M93" s="16" t="inlineStr">
        <is>
          <t>Sechs 'Generational Growth Themes': New Space, Energy Transition, Robotics &amp; Manufacturing, New Computing &amp; Sensing, AI &amp; Next-Gen Software, Tech-Bio</t>
        </is>
      </c>
      <c r="N93" s="16" t="inlineStr">
        <is>
          <t>Zama (FHE/Krypto-Compute, Unicorn), Synthara (Edge-AI-Compute), IQM (Quantum), Black Semiconductor, Neura Robotics, Belfort, Hyperscale Power, constellr</t>
        </is>
      </c>
      <c r="O93" s="16" t="inlineStr">
        <is>
          <t>Niedrig-Mittel - AI ist ein deklariertes Thema, das Portfolio ist aber stark hardware-/compute-lastig; reine Software-/Services-Deals werden laut Partnerprofilen bewusst gemieden</t>
        </is>
      </c>
      <c r="P93" s="16" t="inlineStr">
        <is>
          <t>-</t>
        </is>
      </c>
      <c r="Q93" s="16" t="inlineStr">
        <is>
          <t>Herbert Mangesius</t>
        </is>
      </c>
      <c r="R93" s="16" t="inlineStr">
        <is>
          <t>Founding Partner / General Partner (Dr.-Ing., Deep-Tech-Fokus)</t>
        </is>
      </c>
      <c r="S93" s="16" t="inlineStr">
        <is>
          <t>n/a (Profilseite: https://vsquared.vc/team_member/herbert-mangesius/)</t>
        </is>
      </c>
      <c r="T93" s="16" t="inlineStr">
        <is>
          <t>future@vsquared.vc bzw. pitch@vsquared.vc; Tel. +49 151 50404219</t>
        </is>
      </c>
      <c r="U93" s="16" t="inlineStr">
        <is>
          <t>Stage, Geografie (Muenchen) und Aktivitaet passen sehr gut, aber die Deep-Tech-These ist auf Hardware, Compute, Space und Robotik ausgerichtet - ein Data-Labeling-Service-Modell liegt am Rand des Mandats.</t>
        </is>
      </c>
      <c r="V93" s="16" t="inlineStr">
        <is>
          <t>Ausdrueckliche Praeferenz fuer hardware-nahe Deep-Tech-Deals statt software-only; kein einziges Data-Infra-/Annotation-Investment belegbar; Ticketgroesse nicht transparent</t>
        </is>
      </c>
      <c r="W93" s="16" t="inlineStr">
        <is>
          <t>Nicht als Labeling-Service, sondern als souveraene europaeische Trainingsdaten-Infrastruktur fuer die Robotik- und Sensorik-Portfoliofirmen (Neura, Synthara) pitchen.</t>
        </is>
      </c>
      <c r="X93" s="18" t="n">
        <v>28</v>
      </c>
      <c r="Y93" s="18" t="n">
        <v>16</v>
      </c>
      <c r="Z93" s="18" t="n">
        <v>8</v>
      </c>
      <c r="AA93" s="18" t="n">
        <v>10</v>
      </c>
      <c r="AB93" s="18" t="n">
        <v>10</v>
      </c>
      <c r="AC93" s="15" t="inlineStr">
        <is>
          <t>Mittel</t>
        </is>
      </c>
      <c r="AD93" s="15" t="inlineStr">
        <is>
          <t>Bestandsliste</t>
        </is>
      </c>
      <c r="AE93" s="16" t="inlineStr">
        <is>
          <t>https://vsquared.vc/</t>
        </is>
      </c>
      <c r="AF93" s="16" t="inlineStr">
        <is>
          <t>https://vsquared.vc/, https://www.crunchbase.com/organization/vsquared-ventures, https://tracxn.com/d/venture-capital/vsquaredventures/__LilPW2tCD7fBnHrAPSY1Faiq1Z0wYGu9ESRVTZwcMxU, https://www.vcsheet.com/who/herbert-mangesius</t>
        </is>
      </c>
    </row>
    <row r="94">
      <c r="A94" s="22" t="n">
        <v>90</v>
      </c>
      <c r="B94" s="23" t="inlineStr">
        <is>
          <t>3VC</t>
        </is>
      </c>
      <c r="C94" s="20" t="inlineStr">
        <is>
          <t>B</t>
        </is>
      </c>
      <c r="D94" s="20" t="n">
        <v>71</v>
      </c>
      <c r="E94" s="18" t="inlineStr">
        <is>
          <t>Wien</t>
        </is>
      </c>
      <c r="F94" s="15" t="inlineStr">
        <is>
          <t>Österreich</t>
        </is>
      </c>
      <c r="G94" s="15" t="inlineStr">
        <is>
          <t>Early-Stage / Growth-Stage Venture Capital</t>
        </is>
      </c>
      <c r="H94" s="16" t="inlineStr">
        <is>
          <t>Early-Stage nach erreichtem Product-Market-Fit, Schwerpunkt Series A und B</t>
        </is>
      </c>
      <c r="I94" s="18" t="inlineStr">
        <is>
          <t>Ja</t>
        </is>
      </c>
      <c r="J94" s="16" t="inlineStr">
        <is>
          <t>bis 10 Mio. EUR pro Ticket</t>
        </is>
      </c>
      <c r="K94" s="16" t="inlineStr">
        <is>
          <t>n/a (nicht öffentlich auf der Website ausgewiesen)</t>
        </is>
      </c>
      <c r="L94" s="15" t="inlineStr">
        <is>
          <t>Teilweise</t>
        </is>
      </c>
      <c r="M94" s="16" t="inlineStr">
        <is>
          <t>Europäische Tech-Startups mit hoher Ambition und Anzeichen von Product-Market-Fit; geografischer Fokus DACH, Zentral-/Osteuropa und Südeuropa; sektorübergreifend B2B-Software-lastig</t>
        </is>
      </c>
      <c r="N94" s="16" t="inlineStr">
        <is>
          <t>Emmi AI (generative AI, von Mistral AI übernommen), Storyblok (Headless CMS), Ordio, fundcraft, fynk, simpleclub, Avi Medical</t>
        </is>
      </c>
      <c r="O94" s="16" t="inlineStr">
        <is>
          <t>Mittel - mit Emmi AI ein starkes AI-Investment mit Mistral-Anschluss, aber keine dedizierte Data-Infra-/MLOps-These und kein Labeling-Investment</t>
        </is>
      </c>
      <c r="P94" s="16" t="inlineStr">
        <is>
          <t>-</t>
        </is>
      </c>
      <c r="Q94" s="16" t="inlineStr">
        <is>
          <t>Peter Lasinger</t>
        </is>
      </c>
      <c r="R94" s="16" t="inlineStr">
        <is>
          <t>Founder &amp; Partner (weitere Partner: Eva Arh, Marius Istrate)</t>
        </is>
      </c>
      <c r="S94" s="16" t="inlineStr">
        <is>
          <t>https://at.linkedin.com/in/lasinger</t>
        </is>
      </c>
      <c r="T94" s="16" t="inlineStr">
        <is>
          <t>https://three.vc/submit-a-pitch/, https://three.vc/contact/</t>
        </is>
      </c>
      <c r="U94" s="16" t="inlineStr">
        <is>
          <t>3VC ist ein aktiver DACH-Investor mit klarem Series-A-Fokus, Tickets bis 10 Mio. EUR und mit Emmi AI einem erfolgreichen AI-Exit an Mistral. Für Pre-Seed/Seed ist der Fonds allerdings zu spät positioniert und eine explizite Data-Infrastruktur-These fehlt.</t>
        </is>
      </c>
      <c r="V94" s="16" t="inlineStr">
        <is>
          <t>Verlangt nachgewiesenen Product-Market-Fit, damit kein Pre-Seed/Seed-Partner; Fondsgröße nicht transparent; die Domain 3vc.com ist geparkt - korrekte Adresse ist three.vc, was auf veraltete Datenbankeinträge hindeutet</t>
        </is>
      </c>
      <c r="W94" s="16" t="inlineStr">
        <is>
          <t>Erst bei Series-A-Reife ansprechen und über den Emmi-AI-Exit anknüpfen: PathWize als DACH-Trainingsdaten-Infrastruktur für dieselbe europäische Foundation-Model-Welle.</t>
        </is>
      </c>
      <c r="X94" s="18" t="n">
        <v>22</v>
      </c>
      <c r="Y94" s="18" t="n">
        <v>21</v>
      </c>
      <c r="Z94" s="18" t="n">
        <v>11</v>
      </c>
      <c r="AA94" s="18" t="n">
        <v>7</v>
      </c>
      <c r="AB94" s="18" t="n">
        <v>10</v>
      </c>
      <c r="AC94" s="15" t="inlineStr">
        <is>
          <t>Mittel</t>
        </is>
      </c>
      <c r="AD94" s="15" t="inlineStr">
        <is>
          <t>Bestandsliste</t>
        </is>
      </c>
      <c r="AE94" s="16" t="inlineStr">
        <is>
          <t>https://three.vc/</t>
        </is>
      </c>
      <c r="AF94" s="16" t="inlineStr">
        <is>
          <t>https://three.vc/, https://three.vc/team/peter-lasinger/, https://three.vc/imprint/, https://at.linkedin.com/in/lasinger, https://www.crunchbase.com/person/peter-lasinger</t>
        </is>
      </c>
    </row>
    <row r="95">
      <c r="A95" s="22" t="n">
        <v>91</v>
      </c>
      <c r="B95" s="23" t="inlineStr">
        <is>
          <t>Simon Capital</t>
        </is>
      </c>
      <c r="C95" s="20" t="inlineStr">
        <is>
          <t>B</t>
        </is>
      </c>
      <c r="D95" s="20" t="n">
        <v>71</v>
      </c>
      <c r="E95" s="15" t="inlineStr">
        <is>
          <t>Duesseldorf (urspruenglich Bitburg/Bonn-Umfeld, Operations auch Berlin)</t>
        </is>
      </c>
      <c r="F95" s="18" t="inlineStr">
        <is>
          <t>DE</t>
        </is>
      </c>
      <c r="G95" s="15" t="inlineStr">
        <is>
          <t>VC (Family-backed, ehemals Bitburger Ventures)</t>
        </is>
      </c>
      <c r="H95" s="16" t="inlineStr">
        <is>
          <t>Seed bis Series A und darueber hinaus</t>
        </is>
      </c>
      <c r="I95" s="15" t="inlineStr">
        <is>
          <t>Ja (Minderheitsbeteiligungen von 5 bis 25 Prozent, agiert auch als Lead)</t>
        </is>
      </c>
      <c r="J95" s="16" t="inlineStr">
        <is>
          <t>EUR 0,5 bis 10 Mio.</t>
        </is>
      </c>
      <c r="K95" s="16" t="inlineStr">
        <is>
          <t>ca. EUR 105 Mio. investierbares Kapital</t>
        </is>
      </c>
      <c r="L95" s="15" t="inlineStr">
        <is>
          <t>Teilweise</t>
        </is>
      </c>
      <c r="M95" s="16" t="inlineStr">
        <is>
          <t>Drei Thesenfelder: Consumption (nachhaltige Food/Beverage-Innovation), Wellbeing (digitale Gesundheit) und Productivity (digitale Tools zur Vereinfachung komplexer Prozesse); starker Nachhaltigkeitsrahmen</t>
        </is>
      </c>
      <c r="N95" s="16" t="inlineStr">
        <is>
          <t>Neople (AI-Customer-Support-Agents), Vox.ai (Voice AI fuer Gastronomie), Liria (KI-gestuetzte Fahrzeuginspektion), Sastrify (SaaS-Procurement), Ordio (Workforce Management)</t>
        </is>
      </c>
      <c r="O95" s="16" t="inlineStr">
        <is>
          <t>Mittel: Mehrere KI-Anwendungsinvestments im Productivity-Cluster, aber keine belegten Investments in Data-Infrastruktur, MLOps oder Labeling</t>
        </is>
      </c>
      <c r="P95" s="16" t="inlineStr">
        <is>
          <t>-</t>
        </is>
      </c>
      <c r="Q95" s="16" t="inlineStr">
        <is>
          <t>Dr. Friedrich Droste</t>
        </is>
      </c>
      <c r="R95" s="16" t="inlineStr">
        <is>
          <t>Managing Partner (zweiter Managing Partner: Jan Leicht; Principals: Nico Heinz, Niklas Leske)</t>
        </is>
      </c>
      <c r="S95" s="16" t="inlineStr">
        <is>
          <t>n/a</t>
        </is>
      </c>
      <c r="T95" s="16" t="inlineStr">
        <is>
          <t>Kontaktformular unter https://www.simoncapital.com/ (keine oeffentliche Investment-E-Mail)</t>
        </is>
      </c>
      <c r="U95" s="16" t="inlineStr">
        <is>
          <t>Solider deutscher Seed-/Series-A-Fonds mit EUR 105 Mio. und mehreren KI-Anwendungsinvestments im Productivity-Cluster (Neople, Vox.ai, Liria), aber ohne Data-Infrastruktur-These und mit dominantem Consumer-/Nachhaltigkeitsrahmen.</t>
        </is>
      </c>
      <c r="V95" s="16" t="inlineStr">
        <is>
          <t>Kernidentitaet ist Consumption/Wellbeing mit Sustainability-Klammer; PathWize passt nur in das Nebenthema 'Productivity'; Data-Infra ist kein erklaertes Investmentfeld</t>
        </is>
      </c>
      <c r="W95" s="16" t="inlineStr">
        <is>
          <t>Unter der Productivity-These pitchen: PathWize macht KI-Automatisierung wie bei Neople und Vox.ai ueberhaupt erst produktionsreif, weil deren Modellqualitaet an sauber gelabelten Domaenendaten haengt.</t>
        </is>
      </c>
      <c r="X95" s="18" t="n">
        <v>26</v>
      </c>
      <c r="Y95" s="18" t="n">
        <v>16</v>
      </c>
      <c r="Z95" s="18" t="n">
        <v>11</v>
      </c>
      <c r="AA95" s="18" t="n">
        <v>8</v>
      </c>
      <c r="AB95" s="18" t="n">
        <v>10</v>
      </c>
      <c r="AC95" s="15" t="inlineStr">
        <is>
          <t>Mittel</t>
        </is>
      </c>
      <c r="AD95" s="15" t="inlineStr">
        <is>
          <t>Bestandsliste</t>
        </is>
      </c>
      <c r="AE95" s="16" t="inlineStr">
        <is>
          <t>https://www.simoncapital.com/</t>
        </is>
      </c>
      <c r="AF95" s="16" t="inlineStr">
        <is>
          <t>https://www.simoncapital.com/, https://www.crunchbase.com/organization/simon-capital, https://tracxn.com/d/venture-capital/simon-capital/__JD4QP7NeA9vcz_BNdpWxrRKg9mhabXY6nruEbbbEcXo, https://www.vestbee.com/lp-list/simon-capital-fka-bitburger-ventures</t>
        </is>
      </c>
    </row>
    <row r="96">
      <c r="A96" s="22" t="n">
        <v>92</v>
      </c>
      <c r="B96" s="23" t="inlineStr">
        <is>
          <t>Technologiegruenderfonds Sachsen</t>
        </is>
      </c>
      <c r="C96" s="20" t="inlineStr">
        <is>
          <t>B</t>
        </is>
      </c>
      <c r="D96" s="20" t="n">
        <v>71</v>
      </c>
      <c r="E96" s="15" t="inlineStr">
        <is>
          <t>Leipzig (Hainstrasse 4, 04109); Management durch CFH Management GmbH</t>
        </is>
      </c>
      <c r="F96" s="18" t="inlineStr">
        <is>
          <t>DE</t>
        </is>
      </c>
      <c r="G96" s="15" t="inlineStr">
        <is>
          <t>Public VC / oeffentlich-privat finanzierter Regionalfonds</t>
        </is>
      </c>
      <c r="H96" s="16" t="inlineStr">
        <is>
          <t>Seed und Early Stage (auch sehr fruehe Phasen bei ueberzeugendem Team), Folgefinanzierungen bis Series A</t>
        </is>
      </c>
      <c r="I96" s="15" t="inlineStr">
        <is>
          <t>Ja (haeufig Lead oder Co-Lead in saechsischen Seed-Runden, oft neben Business Angels)</t>
        </is>
      </c>
      <c r="J96" s="16" t="inlineStr">
        <is>
          <t>EUR 100k bis 1 Mio. pro Investment, Follow-on moeglich</t>
        </is>
      </c>
      <c r="K96" s="16" t="inlineStr">
        <is>
          <t>EUR 241,2 Mio. ueber drei Fondsgenerationen; dritte Generation seit 2023 aktiv; ueber 100 finanzierte Start-ups seit 2008</t>
        </is>
      </c>
      <c r="L96" s="15" t="inlineStr">
        <is>
          <t>Teilweise</t>
        </is>
      </c>
      <c r="M96" s="16" t="inlineStr">
        <is>
          <t>Wissensbasierte, technologieorientierte Start-ups in Sachsen: Software, Industrie 4.0, IoT, Big-Data-Analyse, Halbleiter, Deep Tech, Robotik, Energie, Materialwissenschaft, Biotech</t>
        </is>
      </c>
      <c r="N96" s="16" t="inlineStr">
        <is>
          <t>Data Virtuality (Datenintegration/Data Virtualization, Leipzig - inzwischen exited), EntwicklerHeld (Developer-Plattform), Volytica Diagnostics (KI-basierte Batteriediagnose), clarait, Peeriot, Last Mile Semiconductor, SweepMe</t>
        </is>
      </c>
      <c r="O96" s="16" t="inlineStr">
        <is>
          <t>Mittel bis hoch: Big-Data-Analyse ist ausdruecklich Thesenbestandteil und Data Virtuality sowie EntwicklerHeld belegen Data- und Dev-Tools-Erfahrung</t>
        </is>
      </c>
      <c r="P96" s="16" t="inlineStr">
        <is>
          <t>-</t>
        </is>
      </c>
      <c r="Q96" s="16" t="inlineStr">
        <is>
          <t>n/a (Investmentmanagement ueber CFH Management GmbH; kein einzelner Ansprechpartner oeffentlich hervorgehoben)</t>
        </is>
      </c>
      <c r="R96" s="16" t="inlineStr">
        <is>
          <t>n/a</t>
        </is>
      </c>
      <c r="S96" s="16" t="inlineStr">
        <is>
          <t>https://www.linkedin.com/company/tgfs/ (Firmenprofil)</t>
        </is>
      </c>
      <c r="T96" s="16" t="inlineStr">
        <is>
          <t>tgfs@tgfs.de, Telefon +49 341 2569630, Hainstrasse 4, 04109 Leipzig</t>
        </is>
      </c>
      <c r="U96" s="16" t="inlineStr">
        <is>
          <t>Aktiver Seed-Fonds mit EUR 241 Mio., dritter Fondsgeneration seit 2023 und belegter Data-/Dev-Tools-Historie (Data Virtuality, EntwicklerHeld) - aber die Foerderung ist hart an einen Unternehmenssitz beziehungsweise eine Betriebsstaette in Sachsen gebunden.</t>
        </is>
      </c>
      <c r="V96" s="16" t="inlineStr">
        <is>
          <t>Zwingende Sachsen-Bindung: ohne Sitz oder Betriebsstaette in Sachsen ist ein Investment ausgeschlossen; oeffentlicher Fonds mit foerderrechtlichen Auflagen und laengeren Entscheidungsprozessen; Ticket bis EUR 1 Mio. verlangt Syndikatspartner</t>
        </is>
      </c>
      <c r="W96" s="16" t="inlineStr">
        <is>
          <t>Nur mit konkretem Sachsen-Bezug ansprechen (zum Beispiel geplantes Labeling-/Operations-Team in Leipzig oder Dresden) und an die Big-Data- und Dev-Tools-Historie rund um Data Virtuality anknuepfen.</t>
        </is>
      </c>
      <c r="X96" s="18" t="n">
        <v>26</v>
      </c>
      <c r="Y96" s="18" t="n">
        <v>20</v>
      </c>
      <c r="Z96" s="18" t="n">
        <v>12</v>
      </c>
      <c r="AA96" s="18" t="n">
        <v>8</v>
      </c>
      <c r="AB96" s="18" t="n">
        <v>5</v>
      </c>
      <c r="AC96" s="15" t="inlineStr">
        <is>
          <t>Mittel</t>
        </is>
      </c>
      <c r="AD96" s="15" t="inlineStr">
        <is>
          <t>Bestandsliste</t>
        </is>
      </c>
      <c r="AE96" s="16" t="inlineStr">
        <is>
          <t>https://www.tgfs.de/ (weitergeleitet auf https://cfh.de/tgfs-start/)</t>
        </is>
      </c>
      <c r="AF96" s="16" t="inlineStr">
        <is>
          <t>https://cfh.de/tgfs-start/, https://www.cfh.de/en/tgfs-fokus/, https://www.crunchbase.com/organization/technologiegrnderfonds-sachsen, https://www.startbase.com/organization/tgfs-technologiegr-nderfonds-sachsen/, https://www.linkedin.com/company/tgfs/</t>
        </is>
      </c>
    </row>
    <row r="97">
      <c r="A97" s="22" t="n">
        <v>93</v>
      </c>
      <c r="B97" s="23" t="inlineStr">
        <is>
          <t>Bayern Kapital</t>
        </is>
      </c>
      <c r="C97" s="20" t="inlineStr">
        <is>
          <t>B</t>
        </is>
      </c>
      <c r="D97" s="20" t="n">
        <v>70</v>
      </c>
      <c r="E97" s="15" t="inlineStr">
        <is>
          <t>Landshut</t>
        </is>
      </c>
      <c r="F97" s="18" t="inlineStr">
        <is>
          <t>DE</t>
        </is>
      </c>
      <c r="G97" s="15" t="inlineStr">
        <is>
          <t>Public VC (Beteiligungsgesellschaft des Freistaats Bayern)</t>
        </is>
      </c>
      <c r="H97" s="16" t="inlineStr">
        <is>
          <t>Seed, Series A, Series B, Series C (Early-Stage- und Later-Stage-Programme, u.a. Seedfonds Bayern, Innovationsfonds EFRE II, Wachstumsfonds)</t>
        </is>
      </c>
      <c r="I97" s="15" t="inlineStr">
        <is>
          <t>Nein - grundsaetzlich Co-Investor pari passu mit einem privaten Lead-Investor</t>
        </is>
      </c>
      <c r="J97" s="16" t="inlineStr">
        <is>
          <t>250.000 EUR bis 50 Mio. EUR je Unternehmen; Seedfonds Bayern bis 750.000 EUR</t>
        </is>
      </c>
      <c r="K97" s="16" t="inlineStr">
        <is>
          <t>ca. 1,3 Mrd. EUR under Management; ueber 650 Mio. EUR in 380+ Startups investiert; Innovationsfonds EFRE II mit 20 Mio. EUR</t>
        </is>
      </c>
      <c r="L97" s="15" t="inlineStr">
        <is>
          <t>Teilweise</t>
        </is>
      </c>
      <c r="M97" s="16" t="inlineStr">
        <is>
          <t>Technologieoffen: Software/SaaS, Digitalwirtschaft, Industrie, Life Sciences, Medizintechnik, Climate Tech, New Space, Quantentechnologie, Kernfusion und explizit AI</t>
        </is>
      </c>
      <c r="N97" s="16" t="inlineStr">
        <is>
          <t>AI wird explizit als Investitionsfeld genannt; belegtes Beispiel: AVES Reality (3D-Digital-Twin-Spezialist, Erstinvestment Innovationsfonds EFRE II). 208+ Portfoliounternehmen, 18 Neuinvestments in den letzten 12 Monaten</t>
        </is>
      </c>
      <c r="O97" s="16" t="inlineStr">
        <is>
          <t>Mittel: AI ist erklaertes Themenfeld und Digital-Twin-/Simulationsinvestments sind trainingsdatennah, aber kein dediziertes Annotation-/MLOps-Portfolio</t>
        </is>
      </c>
      <c r="P97" s="16" t="inlineStr">
        <is>
          <t>-</t>
        </is>
      </c>
      <c r="Q97" s="16" t="inlineStr">
        <is>
          <t>n/a (Investment-Manager-Zuordnung nach Technologiefeld nicht oeffentlich)</t>
        </is>
      </c>
      <c r="R97" s="16" t="inlineStr">
        <is>
          <t>n/a</t>
        </is>
      </c>
      <c r="S97" s="16" t="inlineStr">
        <is>
          <t>n/a</t>
        </is>
      </c>
      <c r="T97" s="16" t="inlineStr">
        <is>
          <t>info@bayernkapital.de, Tel. +49 871 923250, 84028 Landshut</t>
        </is>
      </c>
      <c r="U97" s="16" t="inlineStr">
        <is>
          <t>Sehr aktiver und kapitalstarker DACH-Fruehphaseninvestor (1,3 Mrd. EUR AUM, 18 Neuinvestments in 12 Monaten), der AI explizit als Investitionsfeld nennt und Tickets bis 750k EUR im Seed schreibt. Der Haken ist die zwingende Bayern-Bindung.</t>
        </is>
      </c>
      <c r="V97" s="16" t="inlineStr">
        <is>
          <t>Investiert nur in Unternehmen mit Betriebsstaette in Bayern - fuer PathWize ausserhalb Bayerns ein K.-o.-Kriterium; fuehrt nie an, sondern verlangt einen privaten Lead-Investor; oeffentlich-rechtliche Prozesse und lange Due-Diligence-Zyklen</t>
        </is>
      </c>
      <c r="W97" s="16" t="inlineStr">
        <is>
          <t>Erst ansprechen, wenn ein privater Lead steht - dann als kapitalstarker Matching-Co-Investor fuer die AI-Vertikale, idealerweise flankiert von einem bayerischen Standort oder Entwicklungsteam.</t>
        </is>
      </c>
      <c r="X97" s="18" t="n">
        <v>24</v>
      </c>
      <c r="Y97" s="18" t="n">
        <v>17</v>
      </c>
      <c r="Z97" s="18" t="n">
        <v>12</v>
      </c>
      <c r="AA97" s="18" t="n">
        <v>10</v>
      </c>
      <c r="AB97" s="18" t="n">
        <v>7</v>
      </c>
      <c r="AC97" s="18" t="inlineStr">
        <is>
          <t>Hoch</t>
        </is>
      </c>
      <c r="AD97" s="15" t="inlineStr">
        <is>
          <t>Bestandsliste</t>
        </is>
      </c>
      <c r="AE97" s="16" t="inlineStr">
        <is>
          <t>https://www.bayernkapital.de/</t>
        </is>
      </c>
      <c r="AF97" s="16" t="inlineStr">
        <is>
          <t>https://bayernkapital.de/en/, https://bayernkapital.de/fuer-gruender/early-stage/, https://bayernkapital.de/en/bayern-kapital/investment-approach/, https://bayernkapital.de/news-events/bayern-kapital-innovationsfonds-efre-ii-bayerisches-wirtschaftsministerium-bayern-kapital-und-lfa-foerderbank-bayern-starten-neuen-fonds-3d-digital-twin-spezialist-aves-reality-sichert-sich-erstes-investment/</t>
        </is>
      </c>
    </row>
    <row r="98">
      <c r="A98" s="22" t="n">
        <v>94</v>
      </c>
      <c r="B98" s="23" t="inlineStr">
        <is>
          <t>heal capital</t>
        </is>
      </c>
      <c r="C98" s="20" t="inlineStr">
        <is>
          <t>B</t>
        </is>
      </c>
      <c r="D98" s="20" t="n">
        <v>70</v>
      </c>
      <c r="E98" s="15" t="inlineStr">
        <is>
          <t>Berlin</t>
        </is>
      </c>
      <c r="F98" s="15" t="inlineStr">
        <is>
          <t>Deutschland</t>
        </is>
      </c>
      <c r="G98" s="15" t="inlineStr">
        <is>
          <t>VC (Sektorfonds HealthTech; LP-Basis: 25+ private Krankenversicherer)</t>
        </is>
      </c>
      <c r="H98" s="16" t="inlineStr">
        <is>
          <t>Pre-Seed bis Series A</t>
        </is>
      </c>
      <c r="I98" s="15" t="inlineStr">
        <is>
          <t>Ja (fuehrt Frueh-Phasen-Runden im HealthTech an)</t>
        </is>
      </c>
      <c r="J98" s="16" t="inlineStr">
        <is>
          <t>EUR 1-5 Mio.</t>
        </is>
      </c>
      <c r="K98" s="16" t="inlineStr">
        <is>
          <t>n/a (nicht auf der Website ausgewiesen; getragen von 25+ privaten Krankenversicherern und institutionellen Healthcare-LPs)</t>
        </is>
      </c>
      <c r="L98" s="15" t="inlineStr">
        <is>
          <t>Teilweise</t>
        </is>
      </c>
      <c r="M98" s="16" t="inlineStr">
        <is>
          <t>Explizit: 'Digital health, AI, and software. Care delivery tools, patient apps, health system infrastructure' - Europa-Fokus, Zugang zum Gesundheitssystem als Kernversprechen.</t>
        </is>
      </c>
      <c r="N98" s="16" t="inlineStr">
        <is>
          <t>Apheris (Data-Infrastruktur fuer foederierte, kollaborative Datenoekosysteme/Federated ML - sehr nah an PathWize' Kategorie), Gleamer (Medical-Grade-AI fuer Radiologie), Hypervision Surgical (AI-Hyperspektralbildgebung), Infermedica (AI-Symptomchecker), Hema.to (Labor-Decision-Support), FormlyAI, Handshake Health</t>
        </is>
      </c>
      <c r="O98" s="16" t="inlineStr">
        <is>
          <t>Hoch innerhalb des Sektors: medizinische Bildgebungs-KI (Gleamer, Hypervision, Hema.to) ist einer der annotationsintensivsten Bereiche ueberhaupt; Apheris zeigt, dass der Fonds Daten-Infrastruktur als Kategorie versteht.</t>
        </is>
      </c>
      <c r="P98" s="16" t="inlineStr">
        <is>
          <t>Data-Infra-nah</t>
        </is>
      </c>
      <c r="Q98" s="16" t="inlineStr">
        <is>
          <t>Eckhardt Weber</t>
        </is>
      </c>
      <c r="R98" s="16" t="inlineStr">
        <is>
          <t>Founding Managing Partner (zweiter: Christian Lautner, Founding Managing Partner; Founding Partner: Dr. Markus Mueschenich)</t>
        </is>
      </c>
      <c r="S98" s="16" t="inlineStr">
        <is>
          <t>n/a</t>
        </is>
      </c>
      <c r="T98" s="16" t="inlineStr">
        <is>
          <t>Pitch-Formular: https://rs6yq4ccslh.typeform.com/to/ioitIG4d ; Rosenthaler Str. 49, 10178 Berlin</t>
        </is>
      </c>
      <c r="U98" s="16" t="inlineStr">
        <is>
          <t>Perfekter Stage-/Ticket-Fit (Pre-Seed bis Series A, EUR 1-5 Mio., Berlin) und mit Apheris ein belegtes Data-Infrastruktur-Investment - der Fonds investiert aber ausschliesslich in HealthTech.</t>
        </is>
      </c>
      <c r="V98" s="16" t="inlineStr">
        <is>
          <t>Striktes HealthTech-Mandat: ein horizontaler Labeling-Anbieter ohne klaren Medizin-Vertical passt nicht; Fondsvolumen nicht oeffentlich; LP-Basis (Versicherer) erwartet Gesundheitssystem-Relevanz.</t>
        </is>
      </c>
      <c r="W98" s="16" t="inlineStr">
        <is>
          <t>Mit einem Medical-Imaging-/Klinikdaten-Vertical einsteigen: annotierte Trainingsdaten und Human-in-the-loop-QA fuer regulierte Medizin-KI (Bruecke zu Gleamer, Hypervision Surgical, Apheris).</t>
        </is>
      </c>
      <c r="X98" s="18" t="n">
        <v>28</v>
      </c>
      <c r="Y98" s="18" t="n">
        <v>13</v>
      </c>
      <c r="Z98" s="18" t="n">
        <v>11</v>
      </c>
      <c r="AA98" s="18" t="n">
        <v>8</v>
      </c>
      <c r="AB98" s="18" t="n">
        <v>10</v>
      </c>
      <c r="AC98" s="18" t="inlineStr">
        <is>
          <t>Hoch</t>
        </is>
      </c>
      <c r="AD98" s="15" t="inlineStr">
        <is>
          <t>Bestandsliste</t>
        </is>
      </c>
      <c r="AE98" s="16" t="inlineStr">
        <is>
          <t>https://www.healcapital.com</t>
        </is>
      </c>
      <c r="AF98" s="16" t="inlineStr">
        <is>
          <t>https://www.healcapital.com/, https://www.healcapital.com/team, https://www.healcapital.com/portfolio</t>
        </is>
      </c>
    </row>
    <row r="99">
      <c r="A99" s="22" t="n">
        <v>95</v>
      </c>
      <c r="B99" s="23" t="inlineStr">
        <is>
          <t>STARTHUB Ventures</t>
        </is>
      </c>
      <c r="C99" s="20" t="inlineStr">
        <is>
          <t>B</t>
        </is>
      </c>
      <c r="D99" s="20" t="n">
        <v>70</v>
      </c>
      <c r="E99" s="15" t="inlineStr">
        <is>
          <t>Hamburg</t>
        </is>
      </c>
      <c r="F99" s="18" t="inlineStr">
        <is>
          <t>DE</t>
        </is>
      </c>
      <c r="G99" s="18" t="inlineStr">
        <is>
          <t>VC</t>
        </is>
      </c>
      <c r="H99" s="16" t="inlineStr">
        <is>
          <t>Pre-Seed (vereinzelt Seed)</t>
        </is>
      </c>
      <c r="I99" s="15" t="inlineStr">
        <is>
          <t>Selten (typischerweise Co-Investor in Pre-Seed-Syndikaten)</t>
        </is>
      </c>
      <c r="J99" s="16" t="inlineStr">
        <is>
          <t>n/a (Pre-Seed-typisch im niedrigen sechsstelligen Bereich)</t>
        </is>
      </c>
      <c r="K99" s="16" t="inlineStr">
        <is>
          <t>n/a (kein oeffentliches Fondsvolumen; ca. 16 Investments)</t>
        </is>
      </c>
      <c r="L99" s="15" t="inlineStr">
        <is>
          <t>Teilweise</t>
        </is>
      </c>
      <c r="M99" s="16" t="inlineStr">
        <is>
          <t>Digitale Unternehmen in HealthTech, LogTech, FinTech, B2B-Software und ausdruecklich Artificial Intelligence; besonders starkes Netzwerk in der internationalen Logistik</t>
        </is>
      </c>
      <c r="N99" s="16" t="inlineStr">
        <is>
          <t>ifesca (KI-basierte Energieprognose und -optimierung), zero44 (Schifffahrts-Emissionssoftware), Boxxport (Container-Marktplatz)</t>
        </is>
      </c>
      <c r="O99" s="16" t="inlineStr">
        <is>
          <t>Mittel: AI ist als Themenfeld genannt, die belegten Investments sind aber KI-Anwendungen in Logistik und Energie, keine Data-Infrastruktur</t>
        </is>
      </c>
      <c r="P99" s="16" t="inlineStr">
        <is>
          <t>-</t>
        </is>
      </c>
      <c r="Q99" s="16" t="inlineStr">
        <is>
          <t>Jan Frahnert</t>
        </is>
      </c>
      <c r="R99" s="16" t="inlineStr">
        <is>
          <t>Investor / Partner (weitere: Willem-Alexander Dous als Investor, Sascha Schubert als Venture Advisor)</t>
        </is>
      </c>
      <c r="S99" s="16" t="inlineStr">
        <is>
          <t>n/a</t>
        </is>
      </c>
      <c r="T99" s="16" t="inlineStr">
        <is>
          <t>Kontakt ueber https://www.starthub-ventures.com/ (Kontaktformular)</t>
        </is>
      </c>
      <c r="U99" s="16" t="inlineStr">
        <is>
          <t>Hamburger Pre-Seed-Investor, der AI und B2B-Software ausdruecklich als Fokusfelder nennt und mit ifesca ein KI-Investment belegt; die Investitionsfrequenz und Fondstransparenz sind allerdings schwach.</t>
        </is>
      </c>
      <c r="V99" s="16" t="inlineStr">
        <is>
          <t>Letztes dokumentiertes Investment November 2024 (ifesca) - aktuelle Aktivitaet unklar; kein offengelegtes Fondsvolumen; nur ca. 16 Investments insgesamt; screening von 1.500 bis 2.000 Startups pro Jahr bei sehr niedriger Abschlussquote</t>
        </is>
      </c>
      <c r="W99" s="16" t="inlineStr">
        <is>
          <t>Am Logistiknetzwerk andocken: PathWize kann Trainingsdaten fuer Logistik- und Supply-Chain-KI liefern - ein Feld, in dem STARTHUB ueber Boxxport und zero44 direkten Kundenzugang hat.</t>
        </is>
      </c>
      <c r="X99" s="18" t="n">
        <v>27</v>
      </c>
      <c r="Y99" s="18" t="n">
        <v>20</v>
      </c>
      <c r="Z99" s="18" t="n">
        <v>9</v>
      </c>
      <c r="AA99" s="18" t="n">
        <v>5</v>
      </c>
      <c r="AB99" s="18" t="n">
        <v>9</v>
      </c>
      <c r="AC99" s="15" t="inlineStr">
        <is>
          <t>Mittel</t>
        </is>
      </c>
      <c r="AD99" s="15" t="inlineStr">
        <is>
          <t>Bestandsliste</t>
        </is>
      </c>
      <c r="AE99" s="16" t="inlineStr">
        <is>
          <t>https://www.starthub-ventures.com/</t>
        </is>
      </c>
      <c r="AF99" s="16" t="inlineStr">
        <is>
          <t>https://www.starthub-ventures.com/, https://www.startbase.com/organization/starthub-ventures/, https://www.eu-startups.com/investor/starthub-ventures/, https://www.cbinsights.com/investor/starthub-ventures, https://pitchbook.com/profiles/investor/484661-53</t>
        </is>
      </c>
    </row>
    <row r="100">
      <c r="A100" s="22" t="n">
        <v>96</v>
      </c>
      <c r="B100" s="23" t="inlineStr">
        <is>
          <t>Atlantis Ventures</t>
        </is>
      </c>
      <c r="C100" s="20" t="inlineStr">
        <is>
          <t>B</t>
        </is>
      </c>
      <c r="D100" s="20" t="n">
        <v>69</v>
      </c>
      <c r="E100" s="15" t="inlineStr">
        <is>
          <t>Muenchen</t>
        </is>
      </c>
      <c r="F100" s="18" t="inlineStr">
        <is>
          <t>DE</t>
        </is>
      </c>
      <c r="G100" s="15" t="inlineStr">
        <is>
          <t>VC / privates Investmentvehikel</t>
        </is>
      </c>
      <c r="H100" s="16" t="inlineStr">
        <is>
          <t>Pre-Seed, Seed</t>
        </is>
      </c>
      <c r="I100" s="15" t="inlineStr">
        <is>
          <t>Teilweise - beteiligt sich meist als Co-Investor, Lead nicht durchgehend belegt</t>
        </is>
      </c>
      <c r="J100" s="16" t="inlineStr">
        <is>
          <t>100.000 EUR bis 1,5 Mio. EUR</t>
        </is>
      </c>
      <c r="K100" s="16" t="inlineStr">
        <is>
          <t>n/a (privates Vehikel, gegruendet 2021, ca. 24 Portfoliounternehmen)</t>
        </is>
      </c>
      <c r="L100" s="15" t="inlineStr">
        <is>
          <t>Teilweise</t>
        </is>
      </c>
      <c r="M100" s="16" t="inlineStr">
        <is>
          <t>SaaS, DeepTech und Sustainability mit starker Impact-Neigung; geografisch DACH, Nordics und UK, ergaenzt um weltweite Ausreisser-Teams</t>
        </is>
      </c>
      <c r="N100" s="16" t="inlineStr">
        <is>
          <t>Mozart AI (AI-Produkt), FINN (Mobility-SaaS); weitere Investments schwerpunktmaessig SaaS und Sustainability - keine dedizierten Data-Infra-/MLOps-Investments belegt</t>
        </is>
      </c>
      <c r="O100" s="16" t="inlineStr">
        <is>
          <t>Mittel-gering: SaaS-/DeepTech-Affinitaet vorhanden, aber keine erkennbare Data-Infrastruktur- oder Trainingsdaten-Historie</t>
        </is>
      </c>
      <c r="P100" s="16" t="inlineStr">
        <is>
          <t>Data-Infra-nah</t>
        </is>
      </c>
      <c r="Q100" s="16" t="inlineStr">
        <is>
          <t>Finn Theyntzler</t>
        </is>
      </c>
      <c r="R100" s="16" t="inlineStr">
        <is>
          <t>Founder</t>
        </is>
      </c>
      <c r="S100" s="16" t="inlineStr">
        <is>
          <t>n/a</t>
        </is>
      </c>
      <c r="T100" s="16" t="inlineStr">
        <is>
          <t>Ueber Website https://www.atlantis-ventures.com/ ; Pitch-Formular/E-Mail n/a</t>
        </is>
      </c>
      <c r="U100" s="16" t="inlineStr">
        <is>
          <t>Muenchner Pre-Seed-/Seed-Investor mit passendem Ticket von 100k bis 1,5 Mio. EUR und SaaS-/DeepTech-These sowie DACH-Fokus, aber ohne ausgewiesene AI-/Data-Infrastruktur-Spezialisierung. Solider Co-Investor, kein Anker.</t>
        </is>
      </c>
      <c r="V100" s="16" t="inlineStr">
        <is>
          <t>Privates Vehikel ohne veroeffentlichte Fondsgroesse - Follow-on-Kapazitaet unklar; starke Sustainability-/Impact-Neigung, in die reines Data Labeling nicht automatisch einzahlt; kleines Team</t>
        </is>
      </c>
      <c r="W100" s="16" t="inlineStr">
        <is>
          <t>Als DACH-SaaS-/DeepTech-Investor mit der B2B-Software-Oekonomik von PathWize ansprechen (wiederkehrende Umsaetze pro Annotationsprojekt) statt mit der Impact-Story.</t>
        </is>
      </c>
      <c r="X100" s="18" t="n">
        <v>27</v>
      </c>
      <c r="Y100" s="18" t="n">
        <v>18</v>
      </c>
      <c r="Z100" s="18" t="n">
        <v>8</v>
      </c>
      <c r="AA100" s="18" t="n">
        <v>6</v>
      </c>
      <c r="AB100" s="18" t="n">
        <v>10</v>
      </c>
      <c r="AC100" s="15" t="inlineStr">
        <is>
          <t>Mittel</t>
        </is>
      </c>
      <c r="AD100" s="15" t="inlineStr">
        <is>
          <t>Bestandsliste</t>
        </is>
      </c>
      <c r="AE100" s="16" t="inlineStr">
        <is>
          <t>https://www.atlantis-ventures.com/</t>
        </is>
      </c>
      <c r="AF100" s="16" t="inlineStr">
        <is>
          <t>https://www.atlantis-ventures.com/, https://www.atlantis-ventures.com/portfolio/, https://tracxn.com/d/venture-capital/atlantis-ventures/__aDghc_ohVy9iPicAGgMgdF2MbJ3o6rp5PuAqM9oxEvs, https://www.eu-startups.com/investor/atlantis-ventures/</t>
        </is>
      </c>
    </row>
    <row r="101">
      <c r="A101" s="22" t="n">
        <v>97</v>
      </c>
      <c r="B101" s="23" t="inlineStr">
        <is>
          <t>Founderful (ehem. Wingman Ventures)</t>
        </is>
      </c>
      <c r="C101" s="20" t="inlineStr">
        <is>
          <t>B</t>
        </is>
      </c>
      <c r="D101" s="20" t="n">
        <v>69</v>
      </c>
      <c r="E101" s="15" t="inlineStr">
        <is>
          <t>Zuerich</t>
        </is>
      </c>
      <c r="F101" s="15" t="inlineStr">
        <is>
          <t>Schweiz</t>
        </is>
      </c>
      <c r="G101" s="15" t="inlineStr">
        <is>
          <t>VC (Pre-Seed-Fonds)</t>
        </is>
      </c>
      <c r="H101" s="16" t="inlineStr">
        <is>
          <t>Pre-Seed (erste Finanzierungsrunde), teils Seed</t>
        </is>
      </c>
      <c r="I101" s="15" t="inlineStr">
        <is>
          <t>Ja - dezidierter Lead-/First-Cheque-Investor</t>
        </is>
      </c>
      <c r="J101" s="16" t="inlineStr">
        <is>
          <t>ca. 1 Mio. USD Pre-Seed, bis 2 Mio. USD Seed</t>
        </is>
      </c>
      <c r="K101" s="16" t="inlineStr">
        <is>
          <t>Fund II: 140 Mio. USD (Final Close Nov 2024, oversubscribed)</t>
        </is>
      </c>
      <c r="L101" s="15" t="inlineStr">
        <is>
          <t>Teilweise</t>
        </is>
      </c>
      <c r="M101" s="16" t="inlineStr">
        <is>
          <t>Schweizer Tech-Gruender (stark ETH-/EPFL-Spinouts): B2B-Software und Industrial Tech, Robotik/Industrieautomation, AI/ML, Computer Vision, Materialwissenschaften, Climate Tech</t>
        </is>
      </c>
      <c r="N101" s="16" t="inlineStr">
        <is>
          <t>Ethon AI (Computer Vision fuer Fertigungsqualitaet, Series A von Index Ventures), Archlet (Sourcing-Analytics), Corintis (Chip-Kuehlung), Chiral Nano, Wingtra, DePoly</t>
        </is>
      </c>
      <c r="O101" s="16" t="inlineStr">
        <is>
          <t>Indirekt: Ethon AI ist ein Computer-Vision-Fall, der auf annotierten Industriebilddaten beruht - kein direktes Labeling-/Trainingsdaten-Investment nachweisbar</t>
        </is>
      </c>
      <c r="P101" s="16" t="inlineStr">
        <is>
          <t>-</t>
        </is>
      </c>
      <c r="Q101" s="16" t="inlineStr">
        <is>
          <t>Alex Stoeckl</t>
        </is>
      </c>
      <c r="R101" s="16" t="inlineStr">
        <is>
          <t>Co-Founder &amp; Partner (zuvor Switzerland Lead bei Creathor Ventures); weitere Co-Founder: Pascal Mathis (GetYourGuide), Lukas Weder (EAT.ch)</t>
        </is>
      </c>
      <c r="S101" s="16" t="inlineStr">
        <is>
          <t>n/a</t>
        </is>
      </c>
      <c r="T101" s="16" t="inlineStr">
        <is>
          <t>Kein oeffentliches Pitch-Formular gefunden; Kontakt ueber founderful.com bzw. LinkedIn (linkedin.com/company/wingman-ag); Buero: Badenerstrasse 60, 8004 Zuerich</t>
        </is>
      </c>
      <c r="U101" s="16" t="inlineStr">
        <is>
          <t>Stage-seitig ideal (Lead im ersten institutionellen Check, frischer 140-Mio.-USD-Fonds) und AI/ML sowie Computer Vision sind explizit These - aber der Fonds investiert per Mandat ausschliesslich in Schweizer Startups, was PathWize als deutsches Unternehmen faktisch ausschliesst.</t>
        </is>
      </c>
      <c r="V101" s="16" t="inlineStr">
        <is>
          <t>Harte Geo-Beschraenkung auf die Schweiz (Swiss tech entrepreneurs / ETH-EPFL-Ecosystem); kein Data-Infra- oder Labeling-Track-Record; kein oeffentlicher Pitch-Kanal</t>
        </is>
      </c>
      <c r="W101" s="16" t="inlineStr">
        <is>
          <t>Nur sinnvoll mit Schweizer Anker (CH-Entitaet, ETH/EPFL-Kooperation oder Schweizer Co-Founder) - dann ueber die Computer-Vision-Linie von Ethon AI als 'Trainingsdaten-Layer fuer Industrial AI' andocken.</t>
        </is>
      </c>
      <c r="X101" s="18" t="n">
        <v>28</v>
      </c>
      <c r="Y101" s="18" t="n">
        <v>20</v>
      </c>
      <c r="Z101" s="18" t="n">
        <v>9</v>
      </c>
      <c r="AA101" s="18" t="n">
        <v>9</v>
      </c>
      <c r="AB101" s="18" t="n">
        <v>3</v>
      </c>
      <c r="AC101" s="18" t="inlineStr">
        <is>
          <t>Hoch</t>
        </is>
      </c>
      <c r="AD101" s="15" t="inlineStr">
        <is>
          <t>Bestandsliste</t>
        </is>
      </c>
      <c r="AE101" s="16" t="inlineStr">
        <is>
          <t>https://www.founderful.com/</t>
        </is>
      </c>
      <c r="AF101" s="16" t="inlineStr">
        <is>
          <t>https://www.founderful.com/, https://www.vestbee.com/insights/articles/founderful-closes-140-m-fund-ii, https://techcrunch.com/2024/02/12/founderful/, https://www.eu-startups.com/2024/11/zurich-based-founderful-closes-a-e133-million-fund-aiming-to-establish-a-strong-foothold-in-the-swiss-tech-ecosystem/</t>
        </is>
      </c>
    </row>
    <row r="102">
      <c r="A102" s="22" t="n">
        <v>98</v>
      </c>
      <c r="B102" s="23" t="inlineStr">
        <is>
          <t>Freigeist Capital</t>
        </is>
      </c>
      <c r="C102" s="20" t="inlineStr">
        <is>
          <t>B</t>
        </is>
      </c>
      <c r="D102" s="20" t="n">
        <v>68</v>
      </c>
      <c r="E102" s="18" t="inlineStr">
        <is>
          <t>Bonn</t>
        </is>
      </c>
      <c r="F102" s="15" t="inlineStr">
        <is>
          <t>Deutschland</t>
        </is>
      </c>
      <c r="G102" s="15" t="inlineStr">
        <is>
          <t>VC / Evergreen-Investor mit eigenem Kapital (kein klassischer LP-Fonds)</t>
        </is>
      </c>
      <c r="H102" s="16" t="inlineStr">
        <is>
          <t>Seed und Pre-Series A</t>
        </is>
      </c>
      <c r="I102" s="15" t="inlineStr">
        <is>
          <t>Ja - führt die wenigen getätigten Seed-Runden typischerweise an und begleitet sie sehr hands-on</t>
        </is>
      </c>
      <c r="J102" s="16" t="inlineStr">
        <is>
          <t>n/a (nicht veröffentlicht); Investment aus eigenem Kapital, dadurch schnelle Entscheidungen</t>
        </is>
      </c>
      <c r="K102" s="16" t="inlineStr">
        <is>
          <t>n/a - kein externer Fonds ausgewiesen; investiert eigenes Kapital der Partner</t>
        </is>
      </c>
      <c r="L102" s="15" t="inlineStr">
        <is>
          <t>Teilweise</t>
        </is>
      </c>
      <c r="M102" s="16" t="inlineStr">
        <is>
          <t>Europäische Deep-Tech-Frühphase: AI, Robotik, synthetische Biologie, Quantum Computing, Luft- und Raumfahrt, Automatisierung, saubere Energie. Bewusst nur 1 bis 2 Investments pro Jahr für maximale 360-Grad-Begleitung.</t>
        </is>
      </c>
      <c r="N102" s="16" t="inlineStr">
        <is>
          <t>xentral (ERP-Software), RobCo (modulare Industrierobotik mit ML-Komponenten), Pitch, Lilium, EnduroSat, Kraftblock; AI wird als Fokusbereich genannt, es fehlen jedoch dedizierte Data-Infrastruktur-Investments</t>
        </is>
      </c>
      <c r="O102" s="16" t="inlineStr">
        <is>
          <t>Mittel: AI und Robotik sind explizite Fokusfelder (Robotik erzeugt hohen Annotationsbedarf), aber es gibt kein belegtes Data-Infrastruktur- oder Labeling-Investment.</t>
        </is>
      </c>
      <c r="P102" s="16" t="inlineStr">
        <is>
          <t>Data-Infra-nah</t>
        </is>
      </c>
      <c r="Q102" s="16" t="inlineStr">
        <is>
          <t>Frank Thelen</t>
        </is>
      </c>
      <c r="R102" s="16" t="inlineStr">
        <is>
          <t>Gründer und CEO, Zuständigkeit Product &amp; Brand (weiterer relevanter Ansprechpartner: Niklas Hebborn, Funding Progression)</t>
        </is>
      </c>
      <c r="S102" s="16" t="inlineStr">
        <is>
          <t>https://www.linkedin.com/in/frank-thelen/</t>
        </is>
      </c>
      <c r="T102" s="16" t="inlineStr">
        <is>
          <t>Kontaktseite: https://freigeist.com/contact/ ; direkte Pitch-E-Mail: n/a</t>
        </is>
      </c>
      <c r="U102" s="16" t="inlineStr">
        <is>
          <t>Freigeist ist ein deutscher Seed-Deep-Tech-Investor mit AI und Robotik als expliziten Fokusfeldern und hoher medialer Sichtbarkeit, tätigt aber nur 1 bis 2 Investments pro Jahr ohne externen Fonds - die Trefferwahrscheinlichkeit ist entsprechend gering.</t>
        </is>
      </c>
      <c r="V102" s="16" t="inlineStr">
        <is>
          <t>Extrem selektiv (1 bis 2 Deals/Jahr), kein institutioneller Fonds und damit begrenztes Follow-on-Volumen, Schwerpunkt auf Hardware-/Frontier-Deep-Tech statt Software-Infrastruktur. Keine offengelegte Ticketgröße.</t>
        </is>
      </c>
      <c r="W102" s="16" t="inlineStr">
        <is>
          <t>Über den Robotik-/Physical-AI-Winkel ansprechen: PathWize liefert die annotierten Trainingsdaten, ohne die Freigeist-Investments wie RobCo ihre Modelle nicht trainieren können.</t>
        </is>
      </c>
      <c r="X102" s="18" t="n">
        <v>24</v>
      </c>
      <c r="Y102" s="18" t="n">
        <v>20</v>
      </c>
      <c r="Z102" s="18" t="n">
        <v>9</v>
      </c>
      <c r="AA102" s="18" t="n">
        <v>5</v>
      </c>
      <c r="AB102" s="18" t="n">
        <v>10</v>
      </c>
      <c r="AC102" s="15" t="inlineStr">
        <is>
          <t>Mittel</t>
        </is>
      </c>
      <c r="AD102" s="15" t="inlineStr">
        <is>
          <t>Bestandsliste</t>
        </is>
      </c>
      <c r="AE102" s="16" t="inlineStr">
        <is>
          <t>https://freigeist.com/</t>
        </is>
      </c>
      <c r="AF102" s="16" t="inlineStr">
        <is>
          <t>https://freigeist.com/, https://freigeist.com/team/frank-thelen/, https://www.linkedin.com/in/frank-thelen/, https://hub.waveup.com/funds/freigeist, https://www.crunchbase.com/organization/e42-ventures</t>
        </is>
      </c>
    </row>
    <row r="103">
      <c r="A103" s="22" t="n">
        <v>99</v>
      </c>
      <c r="B103" s="23" t="inlineStr">
        <is>
          <t>Heartfelt</t>
        </is>
      </c>
      <c r="C103" s="20" t="inlineStr">
        <is>
          <t>B</t>
        </is>
      </c>
      <c r="D103" s="20" t="n">
        <v>68</v>
      </c>
      <c r="E103" s="15" t="inlineStr">
        <is>
          <t>Berlin</t>
        </is>
      </c>
      <c r="F103" s="15" t="inlineStr">
        <is>
          <t>Deutschland</t>
        </is>
      </c>
      <c r="G103" s="15" t="inlineStr">
        <is>
          <t>Pre-Seed-Fonds ('Europe's First Cheque Fund'; Ankerinvestoren Axel Springer und Porsche)</t>
        </is>
      </c>
      <c r="H103" s="16" t="inlineStr">
        <is>
          <t>Pre-Seed / First Cheque (0 auf 1, vor Product-Market-Fit), plus Follow-ons</t>
        </is>
      </c>
      <c r="I103" s="15" t="inlineStr">
        <is>
          <t>Nein/selten (Erst-Ticket EUR 100-400k, investiert solo oder neben anderen Frueh-Investoren)</t>
        </is>
      </c>
      <c r="J103" s="16" t="inlineStr">
        <is>
          <t>EUR 100.000 - 400.000 Initial, Follow-on-Kapazitaet in Folgerunden</t>
        </is>
      </c>
      <c r="K103" s="16" t="inlineStr">
        <is>
          <t>n/a (nicht auf der Website ausgewiesen)</t>
        </is>
      </c>
      <c r="L103" s="15" t="inlineStr">
        <is>
          <t>Teilweise</t>
        </is>
      </c>
      <c r="M103" s="16" t="inlineStr">
        <is>
          <t>Sektoragnostisch: 'exceptional founders building transformative companies across Europe and the US'; ueber 300 Erst-Investments in einer Dekade, Netzwerkzugang zu Axel Springer und Porsche.</t>
        </is>
      </c>
      <c r="N103" s="16" t="inlineStr">
        <is>
          <t>DeepL (Neural-Machine-Translation - eines der bekanntesten europaeischen AI-Modellunternehmen), Colossyan (generative AI-Video), Qualifyze (Audit-/Compliance-Daten), N26, getquin, Charles, Greenlyte</t>
        </is>
      </c>
      <c r="O103" s="16" t="inlineStr">
        <is>
          <t>Mittel-hoch: mit DeepL und Colossyan hat der Fonds echte AI-Modell-Companies begleitet und versteht deren Trainingsdaten-Bedarf; eine explizite Data-Infra-These fehlt aber.</t>
        </is>
      </c>
      <c r="P103" s="16" t="inlineStr">
        <is>
          <t>-</t>
        </is>
      </c>
      <c r="Q103" s="16" t="inlineStr">
        <is>
          <t>n/a (Team von 9 Investment-Professionals; keine Namen/Rollen auf der Website ausgewiesen)</t>
        </is>
      </c>
      <c r="R103" s="16" t="inlineStr">
        <is>
          <t>n/a</t>
        </is>
      </c>
      <c r="S103" s="16" t="inlineStr">
        <is>
          <t>n/a</t>
        </is>
      </c>
      <c r="T103" s="16" t="inlineStr">
        <is>
          <t>https://pitch.heartfelt.vc (Pitch-Deck-Upload)</t>
        </is>
      </c>
      <c r="U103" s="16" t="inlineStr">
        <is>
          <t>Sektoragnostischer Berliner Pre-Seed-Fonds mit DeepL und Colossyan im Track-Record und offenem, niedrigschwelligem Pitch-Prozess - die kleinen Erst-Tickets (EUR 100-400k) reichen jedoch nicht fuer eine Lead-Rolle.</t>
        </is>
      </c>
      <c r="V103" s="16" t="inlineStr">
        <is>
          <t>Sehr kleines Erst-Ticket, kein Lead; Fondsvolumen und Teamnamen nicht oeffentlich; Corporate-Ankerinvestoren (Axel Springer, Porsche) koennen strategische Erwartungen mitbringen.</t>
        </is>
      </c>
      <c r="W103" s="16" t="inlineStr">
        <is>
          <t>Ueber pitch.heartfelt.vc als First-Cheque-Case einreichen und explizit an das DeepL-Erbe anknuepfen: europaeische AI-Modelle brauchen europaeische, compliance-faehige Trainingsdaten.</t>
        </is>
      </c>
      <c r="X103" s="18" t="n">
        <v>22</v>
      </c>
      <c r="Y103" s="18" t="n">
        <v>16</v>
      </c>
      <c r="Z103" s="18" t="n">
        <v>12</v>
      </c>
      <c r="AA103" s="18" t="n">
        <v>8</v>
      </c>
      <c r="AB103" s="18" t="n">
        <v>10</v>
      </c>
      <c r="AC103" s="15" t="inlineStr">
        <is>
          <t>Mittel</t>
        </is>
      </c>
      <c r="AD103" s="15" t="inlineStr">
        <is>
          <t>Bestandsliste</t>
        </is>
      </c>
      <c r="AE103" s="16" t="inlineStr">
        <is>
          <t>https://heartfelt.vc</t>
        </is>
      </c>
      <c r="AF103" s="16" t="inlineStr">
        <is>
          <t>https://heartfelt.vc/, https://pitch.heartfelt.vc/</t>
        </is>
      </c>
    </row>
    <row r="104">
      <c r="A104" s="22" t="n">
        <v>100</v>
      </c>
      <c r="B104" s="23" t="inlineStr">
        <is>
          <t>PT1 Ventures (ehemals PropTech1)</t>
        </is>
      </c>
      <c r="C104" s="20" t="inlineStr">
        <is>
          <t>B</t>
        </is>
      </c>
      <c r="D104" s="20" t="n">
        <v>68</v>
      </c>
      <c r="E104" s="15" t="inlineStr">
        <is>
          <t>Berlin (zusätzlich London)</t>
        </is>
      </c>
      <c r="F104" s="15" t="inlineStr">
        <is>
          <t>Deutschland</t>
        </is>
      </c>
      <c r="G104" s="18" t="inlineStr">
        <is>
          <t>VC</t>
        </is>
      </c>
      <c r="H104" s="16" t="inlineStr">
        <is>
          <t>Pre-Seed, Seed, Series A</t>
        </is>
      </c>
      <c r="I104" s="15" t="inlineStr">
        <is>
          <t>Ja — co-leadet Runden mit Tickets bis 4 Mio. EUR</t>
        </is>
      </c>
      <c r="J104" s="16" t="inlineStr">
        <is>
          <t>300.000 - 4 Mio. EUR Erstinvestment</t>
        </is>
      </c>
      <c r="K104" s="16" t="inlineStr">
        <is>
          <t>n/a (Fondsvolumen nicht publiziert); 30+ Portfoliounternehmen</t>
        </is>
      </c>
      <c r="L104" s="15" t="inlineStr">
        <is>
          <t>Teilweise</t>
        </is>
      </c>
      <c r="M104" s="16" t="inlineStr">
        <is>
          <t>Real-Asset-Technologien: Elektrifizierung &amp; Energiewende, Built World AI &amp; Automation, Klima- und Infrastruktur-Resilienz; explizite Investment-These 'AI, Robotics &amp; Automation' mit der Begründung, LLMs hätten für den produktiven Einsatz in den meisten Sektoren die kritische Masse erreicht</t>
        </is>
      </c>
      <c r="N104" s="16" t="inlineStr">
        <is>
          <t>autarc (KI-gestützte Wärmepumpenplanung), PlanRadar (Bau-Digitalisierung), Climate X (Klimarisiko-Datenanalytik), ecoworks (Sanierungs-Automatisierung); kein Data-Infrastruktur- oder MLOps-Investment im engeren Sinne</t>
        </is>
      </c>
      <c r="O104" s="16" t="inlineStr">
        <is>
          <t>Mittel — PT1 versteht AI als Investmentthema und finanziert Vision-/Automatisierungs-Anwendungen im Bau- und Energiebereich, die annotierte Bild-, Scan- und Sensordaten benötigen; ein horizontaler Labeling-Anbieter fällt aber neben das Real-Asset-Mandat</t>
        </is>
      </c>
      <c r="P104" s="16" t="inlineStr">
        <is>
          <t>Data-Infra-nah</t>
        </is>
      </c>
      <c r="Q104" s="16" t="inlineStr">
        <is>
          <t>Nikolas Samios</t>
        </is>
      </c>
      <c r="R104" s="16" t="inlineStr">
        <is>
          <t>Managing Partner &amp; Co-Founder (Fokus Seed/Pre-Seed in Real-Asset-Technologien); zweite Managing Partnerin: Anja Rath</t>
        </is>
      </c>
      <c r="S104" s="16" t="inlineStr">
        <is>
          <t>n/a</t>
        </is>
      </c>
      <c r="T104" s="16" t="inlineStr">
        <is>
          <t>Pitch über den 'Pitch us'-Bereich auf pt1.vc</t>
        </is>
      </c>
      <c r="U104" s="16" t="inlineStr">
        <is>
          <t>PT1 nennt 'AI, Robotics &amp; Automation' explizit als eigene Investment-These und passt bei Stage (Pre-Seed bis Series A) und Ticket (300k-4M EUR) sehr gut, bindet AI aber konsequent an die vertikalen Endmärkte Energie, Gebäude und Infrastruktur.</t>
        </is>
      </c>
      <c r="V104" s="16" t="inlineStr">
        <is>
          <t>Vertikales Mandat: horizontale Data-Infrastruktur ohne Real-Asset-Bezug fällt vermutlich aus dem Investmentprofil; Fondsvolumen nicht öffentlich; PropTech-Erbe kann zu enger Wahrnehmung des Fonds führen</t>
        </is>
      </c>
      <c r="W104" s="16" t="inlineStr">
        <is>
          <t>Vertikal einsteigen: PathWize als Annotationspartner für Gebäude-Scans, Sensor- und Drohnendaten, ohne den ihre Built-World-AI- und Automatisierungs-Portfoliofirmen ihre Modelle nicht trainiert bekommen.</t>
        </is>
      </c>
      <c r="X104" s="18" t="n">
        <v>28</v>
      </c>
      <c r="Y104" s="18" t="n">
        <v>14</v>
      </c>
      <c r="Z104" s="18" t="n">
        <v>8</v>
      </c>
      <c r="AA104" s="18" t="n">
        <v>8</v>
      </c>
      <c r="AB104" s="18" t="n">
        <v>10</v>
      </c>
      <c r="AC104" s="15" t="inlineStr">
        <is>
          <t>Mittel</t>
        </is>
      </c>
      <c r="AD104" s="15" t="inlineStr">
        <is>
          <t>Bestandsliste</t>
        </is>
      </c>
      <c r="AE104" s="16" t="inlineStr">
        <is>
          <t>https://pt1.vc/</t>
        </is>
      </c>
      <c r="AF104" s="16" t="inlineStr">
        <is>
          <t>https://pt1.vc/, https://theorg.com/org/proptech1-ventures/org-chart/nikolas-samios, https://www.crunchbase.com/organization/proptech1-ventures</t>
        </is>
      </c>
    </row>
    <row r="105">
      <c r="A105" s="22" t="n">
        <v>101</v>
      </c>
      <c r="B105" s="23" t="inlineStr">
        <is>
          <t>TRUMPF Venture</t>
        </is>
      </c>
      <c r="C105" s="20" t="inlineStr">
        <is>
          <t>B</t>
        </is>
      </c>
      <c r="D105" s="20" t="n">
        <v>68</v>
      </c>
      <c r="E105" s="15" t="inlineStr">
        <is>
          <t>Ditzingen (bei Stuttgart)</t>
        </is>
      </c>
      <c r="F105" s="15" t="inlineStr">
        <is>
          <t>Deutschland</t>
        </is>
      </c>
      <c r="G105" s="15" t="inlineStr">
        <is>
          <t>Corporate VC (TRUMPF-Gruppe)</t>
        </is>
      </c>
      <c r="H105" s="16" t="inlineStr">
        <is>
          <t>Frühphase: Seed bis Series A (global, Schwerpunkt Europa)</t>
        </is>
      </c>
      <c r="I105" s="15" t="inlineStr">
        <is>
          <t>Teilweise – meist Co-Investor an der Seite von Finanz-VCs</t>
        </is>
      </c>
      <c r="J105" s="16" t="inlineStr">
        <is>
          <t>n/a (Quellenangaben widersprüchlich; typisch Frühphasen-Tickets, Angabe '25–50 TEUR' auf OpenVC unplausibel)</t>
        </is>
      </c>
      <c r="K105" s="16" t="inlineStr">
        <is>
          <t>n/a (zweiter Fonds aufgelegt; &gt;20 Investments seit 2016, davon 4 Fund-of-Funds)</t>
        </is>
      </c>
      <c r="L105" s="15" t="inlineStr">
        <is>
          <t>Teilweise</t>
        </is>
      </c>
      <c r="M105" s="16" t="inlineStr">
        <is>
          <t>Deep Tech nah am TRUMPF-Kern: Photonik &amp; Lasertechnik, Fertigungstechnologie, Sensorik &amp; Automation, Connectivity &amp; Computing, Quantentechnologie, Cybersecurity, Nachhaltigkeit – inkl. AI-getriebener Automatisierung</t>
        </is>
      </c>
      <c r="N105" s="16" t="inlineStr">
        <is>
          <t>NNAISENSE (neuronale Netze für industrielle Automatisierung/Prozesssteuerung), Threedy (Visual Computing / 3D-Datenplattform), 3YOURMIND (Software für additive Fertigung), Peers (AI-basierte Lernpfade), L7 Defense (unsupervised ML für API-Security), Cyr3con (AI-Security, 2021 divestiert)</t>
        </is>
      </c>
      <c r="O105" s="16" t="inlineStr">
        <is>
          <t>Mittel – belegter Appetit auf ML-/Computer-Vision-Software (NNAISENSE, Threedy); industrielle Vision-Modelle brauchen annotierte Trainingsdaten, aber kein Labeling-Investment belegt</t>
        </is>
      </c>
      <c r="P105" s="16" t="inlineStr">
        <is>
          <t>Data-Infra-nah</t>
        </is>
      </c>
      <c r="Q105" s="16" t="inlineStr">
        <is>
          <t>n/a</t>
        </is>
      </c>
      <c r="R105" s="16" t="inlineStr">
        <is>
          <t>n/a</t>
        </is>
      </c>
      <c r="S105" s="16" t="inlineStr">
        <is>
          <t>n/a</t>
        </is>
      </c>
      <c r="T105" s="16" t="inlineStr">
        <is>
          <t>n/a (Kontaktformular über trumpf.com/TRUMPF Venture)</t>
        </is>
      </c>
      <c r="U105" s="16" t="inlineStr">
        <is>
          <t>Frühphasen-Corporate-VC in Deutschland mit belegten ML-/Computer-Vision-Investments (NNAISENSE, Threedy) und industriellem Vision-Bedarf. Die These ist jedoch stark an den TRUMPF-Kern (Photonik, Fertigung) gebunden, nicht an horizontale Data-Infrastruktur.</t>
        </is>
      </c>
      <c r="V105" s="16" t="inlineStr">
        <is>
          <t>Strategischer Fit zum TRUMPF-Kerngeschäft ist Pflichtkriterium; Corporate-VC-Prozesse langsam; Ticketgrößen nicht transparent kommuniziert</t>
        </is>
      </c>
      <c r="W105" s="16" t="inlineStr">
        <is>
          <t>PathWize als Trainingsdaten-Layer für industrielle Computer Vision und Qualitätsinspektion in der Smart Factory pitchen – mit konkretem TRUMPF-Use-Case (Bauteil-/Schweißnahtannotation).</t>
        </is>
      </c>
      <c r="X105" s="18" t="n">
        <v>24</v>
      </c>
      <c r="Y105" s="18" t="n">
        <v>15</v>
      </c>
      <c r="Z105" s="18" t="n">
        <v>12</v>
      </c>
      <c r="AA105" s="18" t="n">
        <v>7</v>
      </c>
      <c r="AB105" s="18" t="n">
        <v>10</v>
      </c>
      <c r="AC105" s="15" t="inlineStr">
        <is>
          <t>Mittel</t>
        </is>
      </c>
      <c r="AD105" s="15" t="inlineStr">
        <is>
          <t>Bestandsliste</t>
        </is>
      </c>
      <c r="AE105" s="16" t="inlineStr">
        <is>
          <t>https://www.trumpf.com/de_DE/unternehmen/weitere-taetigkeitsfelder/trumpf-venture/</t>
        </is>
      </c>
      <c r="AF105" s="16" t="inlineStr">
        <is>
          <t>https://www.trumpf.com/en_US/company/additional-fields-of-activity/trumpf-venture/portfolio/, https://www.startbase.com/organization/trumpf-venture/, https://www.crunchbase.com/organization/trumpf-venture</t>
        </is>
      </c>
    </row>
    <row r="106">
      <c r="A106" s="22" t="n">
        <v>102</v>
      </c>
      <c r="B106" s="23" t="inlineStr">
        <is>
          <t>Green Generation Fund</t>
        </is>
      </c>
      <c r="C106" s="20" t="inlineStr">
        <is>
          <t>B</t>
        </is>
      </c>
      <c r="D106" s="20" t="n">
        <v>67</v>
      </c>
      <c r="E106" s="15" t="inlineStr">
        <is>
          <t>Berlin</t>
        </is>
      </c>
      <c r="F106" s="15" t="inlineStr">
        <is>
          <t>Deutschland</t>
        </is>
      </c>
      <c r="G106" s="15" t="inlineStr">
        <is>
          <t>VC (Early Stage, Impact/FoodTech-EnergyTech)</t>
        </is>
      </c>
      <c r="H106" s="16" t="inlineStr">
        <is>
          <t>Pre-Seed bis Series A</t>
        </is>
      </c>
      <c r="I106" s="15" t="inlineStr">
        <is>
          <t>Ja (arbeitet 'hands-on' ab Pre-Seed, Lead-faehige Ticketgroesse)</t>
        </is>
      </c>
      <c r="J106" s="16" t="inlineStr">
        <is>
          <t>EUR 500k bis EUR 2,5 Mio.</t>
        </is>
      </c>
      <c r="K106" s="16" t="inlineStr">
        <is>
          <t>n/a (nicht auf der Website ausgewiesen; unterstuetzt durch InvestEU/EU-Garantie, KfW Capital Award 2022 'Best Investor')</t>
        </is>
      </c>
      <c r="L106" s="15" t="inlineStr">
        <is>
          <t>Teilweise</t>
        </is>
      </c>
      <c r="M106" s="16" t="inlineStr">
        <is>
          <t>'Investing in the industries the world depends on': Food, Agriculture, Energy, Resources - umgesetzt ueber drei Querschnittsthemen Deep Tech (Energie, Space, Robotik, SynBio), Artificial Intelligence und Consumer &amp; Marketplaces. Geo: 70% Europa, 30% global.</t>
        </is>
      </c>
      <c r="N106" s="16" t="inlineStr">
        <is>
          <t>Orbify (Geospatial-Data-Plattform), Hexafarms (AI-gesteuerte Gewaechshaus-Optimierung), Greenlyte, NoMaze; AI ist explizit als eigenes Investmentthema auf der Website ausgewiesen</t>
        </is>
      </c>
      <c r="O106" s="16" t="inlineStr">
        <is>
          <t>Mittel: AI wird explizit adressiert, aber immer angewandt auf Food/Agri/Energy - horizontale Labeling-Infrastruktur waere ein Grenzfall (am ehesten ueber Geospatial-/Agri-Vision-Annotation).</t>
        </is>
      </c>
      <c r="P106" s="16" t="inlineStr">
        <is>
          <t>Data-Infra-nah</t>
        </is>
      </c>
      <c r="Q106" s="16" t="inlineStr">
        <is>
          <t>Manon Littek</t>
        </is>
      </c>
      <c r="R106" s="16" t="inlineStr">
        <is>
          <t>Gruenderin / General Partner (nicht auf der aktuell abrufbaren Website belegt - Teamseite liefert 404)</t>
        </is>
      </c>
      <c r="S106" s="16" t="inlineStr">
        <is>
          <t>n/a</t>
        </is>
      </c>
      <c r="T106" s="16" t="inlineStr">
        <is>
          <t>Kontakt-E-Mail auf https://www.ggf.vc (Adresse auf der Seite verschleiert), Zehdenickerstrasse 12c, 10119 Berlin</t>
        </is>
      </c>
      <c r="U106" s="16" t="inlineStr">
        <is>
          <t>Berliner Pre-Seed-bis-Series-A-Fonds mit passendem Ticket (EUR 0,5-2,5 Mio.) und explizitem AI-Investmentthema, allerdings nur als Enabler fuer Food-, Agrar- und Energiesektoren.</t>
        </is>
      </c>
      <c r="V106" s="16" t="inlineStr">
        <is>
          <t>Sektormandat (Food/Agri/Energy/Resources) und Impact-/Artikel-9-Logik koennten eine horizontale Data-Labeling-Firma ausschliessen; Fondsgroesse und Teamseite nicht oeffentlich abrufbar (404).</t>
        </is>
      </c>
      <c r="W106" s="16" t="inlineStr">
        <is>
          <t>Ueber die Impact-Bruecke ansprechen: PathWize als Trainingsdaten-Infrastruktur fuer Agrar-/Energie-Computer-Vision (Anschluss an Orbify und Hexafarms).</t>
        </is>
      </c>
      <c r="X106" s="18" t="n">
        <v>27</v>
      </c>
      <c r="Y106" s="18" t="n">
        <v>13</v>
      </c>
      <c r="Z106" s="18" t="n">
        <v>9</v>
      </c>
      <c r="AA106" s="18" t="n">
        <v>8</v>
      </c>
      <c r="AB106" s="18" t="n">
        <v>10</v>
      </c>
      <c r="AC106" s="15" t="inlineStr">
        <is>
          <t>Mittel</t>
        </is>
      </c>
      <c r="AD106" s="15" t="inlineStr">
        <is>
          <t>Bestandsliste</t>
        </is>
      </c>
      <c r="AE106" s="16" t="inlineStr">
        <is>
          <t>https://www.ggf.vc</t>
        </is>
      </c>
      <c r="AF106" s="16" t="inlineStr">
        <is>
          <t>https://www.ggf.vc/, https://www.greengenerationfund.com/ (Redirect auf ggf.vc)</t>
        </is>
      </c>
    </row>
    <row r="107">
      <c r="A107" s="22" t="n">
        <v>103</v>
      </c>
      <c r="B107" s="23" t="inlineStr">
        <is>
          <t>Monkfish Equity</t>
        </is>
      </c>
      <c r="C107" s="20" t="inlineStr">
        <is>
          <t>B</t>
        </is>
      </c>
      <c r="D107" s="20" t="n">
        <v>67</v>
      </c>
      <c r="E107" s="15" t="inlineStr">
        <is>
          <t>Leipzig (c/o SpinLab, Spinnereistrasse 7)</t>
        </is>
      </c>
      <c r="F107" s="15" t="inlineStr">
        <is>
          <t>Deutschland</t>
        </is>
      </c>
      <c r="G107" s="15" t="inlineStr">
        <is>
          <t>Micro-VC / Gruender-Fonds (Investmentvehikel der trivago-Gruender)</t>
        </is>
      </c>
      <c r="H107" s="16" t="inlineStr">
        <is>
          <t>Pre-Seed und Seed, Folgeinvestments bis Series A/B</t>
        </is>
      </c>
      <c r="I107" s="15" t="inlineStr">
        <is>
          <t>Teilweise - positioniert sich mit schlanken Terms und schnellen Entscheidungen, oft als frueher Co-Investor</t>
        </is>
      </c>
      <c r="J107" s="16" t="inlineStr">
        <is>
          <t>n/a (Micro-VC-Tickets, Website nennt keine Spanne)</t>
        </is>
      </c>
      <c r="K107" s="16" t="inlineStr">
        <is>
          <t>n/a; 53 Portfoliounternehmen, darunter 5 Unicorns</t>
        </is>
      </c>
      <c r="L107" s="15" t="inlineStr">
        <is>
          <t>Teilweise</t>
        </is>
      </c>
      <c r="M107" s="16" t="inlineStr">
        <is>
          <t>Techgetrieben und generalistisch: SaaS, Consumer, E-Commerce, Marktplaetze, Travel, Logistik, Fintech, Health, Biotech, Climate. Investiert in Deutschland und den USA.</t>
        </is>
      </c>
      <c r="N107" s="16" t="inlineStr">
        <is>
          <t>Keine dedizierte AI-These dokumentiert; breites Tech-/SaaS-Portfolio mit 53 Beteiligungen, konkrete Data-Infra-/MLOps-Namen n/a.</t>
        </is>
      </c>
      <c r="O107" s="16" t="inlineStr">
        <is>
          <t>Mittel-gering: Gruenderhintergrund (trivago) bringt starkes Verstaendnis fuer datengetriebene Skalierung, aber kein belegter AI-Infra-Track-Record.</t>
        </is>
      </c>
      <c r="P107" s="16" t="inlineStr">
        <is>
          <t>Data-Infra-nah</t>
        </is>
      </c>
      <c r="Q107" s="16" t="inlineStr">
        <is>
          <t>Prof. Dr. Stephan Stubner / Peter Vinnemeier</t>
        </is>
      </c>
      <c r="R107" s="16" t="inlineStr">
        <is>
          <t>Managing Partner (Team der vier Gruender-Investoren: Malte, Rolf, Stephan, Peter)</t>
        </is>
      </c>
      <c r="S107" s="16" t="inlineStr">
        <is>
          <t>n/a</t>
        </is>
      </c>
      <c r="T107" s="16" t="inlineStr">
        <is>
          <t>Nur ueber warme Intro aus dem Netzwerk - keine E-Mail und kein Pitch-Formular auf der Website</t>
        </is>
      </c>
      <c r="U107" s="16" t="inlineStr">
        <is>
          <t>Aktiver deutscher Pre-Seed-/Seed-Micro-VC mit Gruenderhintergrund, schnellen Entscheidungen und schlanken Terms - aber generalistisch ohne dedizierte AI-/Data-Infra-These.</t>
        </is>
      </c>
      <c r="V107" s="16" t="inlineStr">
        <is>
          <t>Ausschliesslich warme Intros, kein offener Kanal; keine oeffentliche Fondsgroesse oder Ticketspanne; keine dokumentierte AI-Spezialisierung.</t>
        </is>
      </c>
      <c r="W107" s="16" t="inlineStr">
        <is>
          <t>Warme Intro ueber das SpinLab-/Leipzig-Oekosystem oder das trivago-Netzwerk suchen und PathWize als kapitaleffizientes, frueh umsatzstarkes B2B-Modell mit Marktplatz-Dynamik positionieren.</t>
        </is>
      </c>
      <c r="X107" s="18" t="n">
        <v>27</v>
      </c>
      <c r="Y107" s="18" t="n">
        <v>15</v>
      </c>
      <c r="Z107" s="18" t="n">
        <v>8</v>
      </c>
      <c r="AA107" s="18" t="n">
        <v>7</v>
      </c>
      <c r="AB107" s="18" t="n">
        <v>10</v>
      </c>
      <c r="AC107" s="15" t="inlineStr">
        <is>
          <t>Mittel</t>
        </is>
      </c>
      <c r="AD107" s="15" t="inlineStr">
        <is>
          <t>Bestandsliste</t>
        </is>
      </c>
      <c r="AE107" s="16" t="inlineStr">
        <is>
          <t>https://www.monkfish-equity.com/</t>
        </is>
      </c>
      <c r="AF107" s="16" t="inlineStr">
        <is>
          <t>https://www.monkfish-equity.com/, https://tracxn.com/d/venture-capital/monkfish-equity/__k-ivqO_Bd_8zV9Mbo0X5mSfStVBD_8EcK8owFXukaaI, https://superscout.co/investor/monkfish-equity, https://app.dealroom.co/investors/monkfish_equity_gmbh</t>
        </is>
      </c>
    </row>
    <row r="108">
      <c r="A108" s="22" t="n">
        <v>104</v>
      </c>
      <c r="B108" s="23" t="inlineStr">
        <is>
          <t>Robert Bosch Venture Capital (Bosch Ventures)</t>
        </is>
      </c>
      <c r="C108" s="20" t="inlineStr">
        <is>
          <t>B</t>
        </is>
      </c>
      <c r="D108" s="20" t="n">
        <v>67</v>
      </c>
      <c r="E108" s="15" t="inlineStr">
        <is>
          <t>Stuttgart (weitere Büros: Frankfurt, Sunnyvale, Boston, Tel Aviv, Shanghai)</t>
        </is>
      </c>
      <c r="F108" s="15" t="inlineStr">
        <is>
          <t>Deutschland</t>
        </is>
      </c>
      <c r="G108" s="15" t="inlineStr">
        <is>
          <t>Corporate VC (Robert Bosch GmbH)</t>
        </is>
      </c>
      <c r="H108" s="16" t="inlineStr">
        <is>
          <t>Schwerpunkt Series A bis C, mit Flexibilität für Seed und spätere Runden</t>
        </is>
      </c>
      <c r="I108" s="15" t="inlineStr">
        <is>
          <t>Ja — laut eigener Aussage flexibel als Lead, Co-Lead oder Follower</t>
        </is>
      </c>
      <c r="J108" s="16" t="inlineStr">
        <is>
          <t>bis zu 25 Mio. EUR pro Unternehmen, Beteiligung bis 25 %</t>
        </is>
      </c>
      <c r="K108" s="16" t="inlineStr">
        <is>
          <t>n/a (Fondsvolumen nicht öffentlich ausgewiesen)</t>
        </is>
      </c>
      <c r="L108" s="18" t="inlineStr">
        <is>
          <t>Ja</t>
        </is>
      </c>
      <c r="M108" s="16" t="inlineStr">
        <is>
          <t>Deep Tech in fünf Feldern: AI und Machine Learning, Automation &amp; Digitalisierung, Halbleiter &amp; Computing, Advanced Manufacturing sowie Mobility; ergänzend Elektrifizierung, Enabling Technologies (Software, Connectivity), Climate Tech und Healthcare</t>
        </is>
      </c>
      <c r="N108" s="16" t="inlineStr">
        <is>
          <t>AI und Machine Learning ist explizit als primäres Fokusfeld gelistet, inklusive Deep-Learning-Anwendungen; konkrete Portfolionamen auf der Übersichtsseite nicht abrufbar</t>
        </is>
      </c>
      <c r="O108" s="16" t="inlineStr">
        <is>
          <t>Hoch im industriellen Kontext — Bosch selbst ist einer der größten industriellen Abnehmer annotierter Sensor-, Bild- und Fahrzeugdaten; strategischer Kunden- und Investorenzugang in einem</t>
        </is>
      </c>
      <c r="P108" s="16" t="inlineStr">
        <is>
          <t>-</t>
        </is>
      </c>
      <c r="Q108" s="16" t="inlineStr">
        <is>
          <t>n/a (Teamseite nicht abrufbar; Einstieg über Stuttgarter Zentrale)</t>
        </is>
      </c>
      <c r="R108" s="16" t="inlineStr">
        <is>
          <t>n/a</t>
        </is>
      </c>
      <c r="S108" s="16" t="inlineStr">
        <is>
          <t>n/a</t>
        </is>
      </c>
      <c r="T108" s="16" t="inlineStr">
        <is>
          <t>Info.RBVC@de.bosch.com (Zentrale Stuttgart)</t>
        </is>
      </c>
      <c r="U108" s="16" t="inlineStr">
        <is>
          <t>AI und Machine Learning stehen als erstes Fokusfeld der Deep-Tech-These, und Bosch bietet als Konzernmutter einen der größten industriellen Trainingsdaten-Bedarfe Europas als strategisches Asset — der Stage-Schwerpunkt liegt jedoch auf Series A bis C.</t>
        </is>
      </c>
      <c r="V108" s="16" t="inlineStr">
        <is>
          <t>Pre-Seed/Seed praktisch ausgeschlossen, Schwerpunkt Series A+; Corporate-VC-Abhängigkeiten (strategische Interessen der Bosch-Gruppe, mögliche Signalwirkung gegenüber anderen Automotive-Kunden); Tickets bis 25 Mio. EUR sind für eine frühe Runde deutlich zu groß; kein Team-Ansprechpartner öffentlich zuzuordnen</t>
        </is>
      </c>
      <c r="W108" s="16" t="inlineStr">
        <is>
          <t>Für später vormerken und jetzt schon als strategischen Kunden aufbauen: PathWize als Annotationspartner für Bosch-Sensor- und Fertigungsdaten, mit Kapitalgespräch zur Series A.</t>
        </is>
      </c>
      <c r="X108" s="18" t="n">
        <v>14</v>
      </c>
      <c r="Y108" s="18" t="n">
        <v>22</v>
      </c>
      <c r="Z108" s="18" t="n">
        <v>12</v>
      </c>
      <c r="AA108" s="18" t="n">
        <v>9</v>
      </c>
      <c r="AB108" s="18" t="n">
        <v>10</v>
      </c>
      <c r="AC108" s="15" t="inlineStr">
        <is>
          <t>Mittel</t>
        </is>
      </c>
      <c r="AD108" s="15" t="inlineStr">
        <is>
          <t>Bestandsliste</t>
        </is>
      </c>
      <c r="AE108" s="16" t="inlineStr">
        <is>
          <t>https://bosch.ventures/ (vormals rbvc.com)</t>
        </is>
      </c>
      <c r="AF108" s="16" t="inlineStr">
        <is>
          <t>https://bosch.ventures/, https://bosch.ventures/investment-strategy/, https://www.rbvc.com/</t>
        </is>
      </c>
    </row>
    <row r="109">
      <c r="A109" s="22" t="n">
        <v>105</v>
      </c>
      <c r="B109" s="23" t="inlineStr">
        <is>
          <t>Venture Stars GmbH</t>
        </is>
      </c>
      <c r="C109" s="20" t="inlineStr">
        <is>
          <t>B</t>
        </is>
      </c>
      <c r="D109" s="20" t="n">
        <v>67</v>
      </c>
      <c r="E109" s="15" t="inlineStr">
        <is>
          <t>München</t>
        </is>
      </c>
      <c r="F109" s="15" t="inlineStr">
        <is>
          <t>Deutschland</t>
        </is>
      </c>
      <c r="G109" s="15" t="inlineStr">
        <is>
          <t>VC (aus Company Builder hervorgegangen)</t>
        </is>
      </c>
      <c r="H109" s="16" t="inlineStr">
        <is>
          <t>Pre-Seed und Seed</t>
        </is>
      </c>
      <c r="I109" s="15" t="inlineStr">
        <is>
          <t>Ja – tritt bei Pre-Seed/Seed regelmäßig als Lead auf</t>
        </is>
      </c>
      <c r="J109" s="16" t="inlineStr">
        <is>
          <t>500.000 – 1,5 Mio. EUR Initial-Ticket</t>
        </is>
      </c>
      <c r="K109" s="16" t="inlineStr">
        <is>
          <t>n/a (erster Fonds 2014 aufgelegt, Firmengründung 2011)</t>
        </is>
      </c>
      <c r="L109" s="15" t="inlineStr">
        <is>
          <t>Teilweise</t>
        </is>
      </c>
      <c r="M109" s="16" t="inlineStr">
        <is>
          <t>Technologiegetriebene Geschäftsmodelle mit disruptivem Potenzial: Consumer, SaaS, Fintech, Healthcare, Energy, Climate und AI</t>
        </is>
      </c>
      <c r="N109" s="16" t="inlineStr">
        <is>
          <t>MOMENTUM TRANSFER (fortgeschrittene Röntgen-/Messdaten), OTARK (Plattform Grünstromhandel), MARCLEY (Solar), nunc. (Consumer) – AI wird in der These genannt, aber kein dediziertes AI-/Data-Infra-Investment belegbar</t>
        </is>
      </c>
      <c r="O109" s="16" t="inlineStr">
        <is>
          <t>Mittel-gering – AI ist als Sektor gelistet, Portfolio jedoch energie- und consumerlastig; Company-Builder-DNA und SaaS-Erfahrung wären operativ hilfreich</t>
        </is>
      </c>
      <c r="P109" s="16" t="inlineStr">
        <is>
          <t>Data-Infra-nah</t>
        </is>
      </c>
      <c r="Q109" s="16" t="inlineStr">
        <is>
          <t>Florian Calmbach</t>
        </is>
      </c>
      <c r="R109" s="16" t="inlineStr">
        <is>
          <t>Managing Partner (neben Martin Junker, Managing Partner; Raphael Budday, Investment Manager)</t>
        </is>
      </c>
      <c r="S109" s="16" t="inlineStr">
        <is>
          <t>n/a</t>
        </is>
      </c>
      <c r="T109" s="16" t="inlineStr">
        <is>
          <t>n/a (Kontakt/Pitch über venture-stars.com)</t>
        </is>
      </c>
      <c r="U109" s="16" t="inlineStr">
        <is>
          <t>Sehr guter Stage-Fit (Pre-Seed/Seed, 500 TEUR–1,5 Mio. EUR, Lead-fähig) in München, und AI wird explizit als Sektor geführt. Das tatsächliche Portfolio ist jedoch energie-/consumerlastig ohne belegte Data-Infrastruktur-Investments.</t>
        </is>
      </c>
      <c r="V109" s="16" t="inlineStr">
        <is>
          <t>AI-These bislang nicht durch Portfolio belegt; breite Sektorstreuung deutet auf Generalisten-Ansatz; Fondsgröße intransparent</t>
        </is>
      </c>
      <c r="W109" s="16" t="inlineStr">
        <is>
          <t>Company-Builder-Historie ansprechen: PathWize als operativ skalierbares B2B-Modell positionieren, bei dem Venture Stars mit Manpower bei GTM und Delivery-Aufbau echten Mehrwert liefert.</t>
        </is>
      </c>
      <c r="X109" s="18" t="n">
        <v>28</v>
      </c>
      <c r="Y109" s="18" t="n">
        <v>16</v>
      </c>
      <c r="Z109" s="18" t="n">
        <v>6</v>
      </c>
      <c r="AA109" s="18" t="n">
        <v>7</v>
      </c>
      <c r="AB109" s="18" t="n">
        <v>10</v>
      </c>
      <c r="AC109" s="15" t="inlineStr">
        <is>
          <t>Mittel</t>
        </is>
      </c>
      <c r="AD109" s="15" t="inlineStr">
        <is>
          <t>Bestandsliste</t>
        </is>
      </c>
      <c r="AE109" s="16" t="inlineStr">
        <is>
          <t>https://www.venture-stars.com/</t>
        </is>
      </c>
      <c r="AF109" s="16" t="inlineStr">
        <is>
          <t>https://www.venture-stars.com/, https://www.venture-stars.com/team/, https://www.eu-startups.com/investor/venture-stars/</t>
        </is>
      </c>
    </row>
    <row r="110">
      <c r="A110" s="22" t="n">
        <v>106</v>
      </c>
      <c r="B110" s="23" t="inlineStr">
        <is>
          <t>Target Global</t>
        </is>
      </c>
      <c r="C110" s="20" t="inlineStr">
        <is>
          <t>B</t>
        </is>
      </c>
      <c r="D110" s="20" t="n">
        <v>66</v>
      </c>
      <c r="E110" s="15" t="inlineStr">
        <is>
          <t>Berlin (weitere Investmentbueros London, Tel Aviv, Barcelona)</t>
        </is>
      </c>
      <c r="F110" s="18" t="inlineStr">
        <is>
          <t>DE</t>
        </is>
      </c>
      <c r="G110" s="15" t="inlineStr">
        <is>
          <t>VC (paneuropaeisch, Multi-Stage)</t>
        </is>
      </c>
      <c r="H110" s="16" t="inlineStr">
        <is>
          <t>Pre-Seed bis Pre-IPO; dedizierte Early Stage Funds (Early Stage Fund II mit EUR 120 Mio., Early Stage Fund III Vintage 2022)</t>
        </is>
      </c>
      <c r="I110" s="15" t="inlineStr">
        <is>
          <t>Ja (fuehrt Early-Stage-Runden in Europa und Israel an)</t>
        </is>
      </c>
      <c r="J110" s="16" t="inlineStr">
        <is>
          <t>n/a (Early-Stage-Fonds typischerweise EUR 1 bis 10 Mio.)</t>
        </is>
      </c>
      <c r="K110" s="16" t="inlineStr">
        <is>
          <t>ueber EUR 3 Mrd. AUM; ca. 98 bis 163 Portfoliounternehmen je nach Quelle</t>
        </is>
      </c>
      <c r="L110" s="15" t="inlineStr">
        <is>
          <t>Teilweise</t>
        </is>
      </c>
      <c r="M110" s="16" t="inlineStr">
        <is>
          <t>Technologiegetriebene Disruption etablierter Industrien mittels SaaS, Marktplaetzen, E-Commerce und AI; historische Schwerpunkte Fintech, Mobility, Marketplaces, Logistik</t>
        </is>
      </c>
      <c r="N110" s="16" t="inlineStr">
        <is>
          <t>Nimble (Business/Productivity Software, Februar 2026), Voyantis (AI-Predictions fuer Growth), Alta; breiteres Portfolio Revolut, Delivery Hero, Auto1, wefox, TravelPerk, Rapyd, Flink</t>
        </is>
      </c>
      <c r="O110" s="16" t="inlineStr">
        <is>
          <t>Mittel: AI wird als Querschnittstechnologie genannt, aber es gibt keine belegten Data-Infrastruktur-, MLOps- oder Labeling-Investments</t>
        </is>
      </c>
      <c r="P110" s="16" t="inlineStr">
        <is>
          <t>-</t>
        </is>
      </c>
      <c r="Q110" s="16" t="inlineStr">
        <is>
          <t>n/a (Team-Seite zum Recherchezeitpunkt nicht abrufbar - 404)</t>
        </is>
      </c>
      <c r="R110" s="16" t="inlineStr">
        <is>
          <t>n/a</t>
        </is>
      </c>
      <c r="S110" s="16" t="inlineStr">
        <is>
          <t>n/a</t>
        </is>
      </c>
      <c r="T110" s="16" t="inlineStr">
        <is>
          <t>Kontakt ueber https://targetglobal.vc/ (keine oeffentliche Pitch-E-Mail auffindbar)</t>
        </is>
      </c>
      <c r="U110" s="16" t="inlineStr">
        <is>
          <t>Grosser Berliner Multi-Stage-Fonds mit dediziertem Early-Stage-Vehikel und AI im Thesentext, aber der Track Record liegt klar bei Fintech, Mobility und Marktplaetzen - nicht bei Data-Infrastruktur.</t>
        </is>
      </c>
      <c r="V110" s="16" t="inlineStr">
        <is>
          <t>Nur zwei Neuinvestments in den letzten zwoelf Monaten - deutlich reduzierte Deployment-Aktivitaet; Team-Seite nicht erreichbar; Early Stage Fund III ist Vintage 2022 und damit vermutlich weitgehend allokiert; keine erkennbare Deep-Tech-/Infra-Kompetenz</t>
        </is>
      </c>
      <c r="W110" s="16" t="inlineStr">
        <is>
          <t>Ueber die Portfolio-Nachfrageseite argumentieren: Marktplatz- und Fintech-Beteiligungen wie Auto1 und Revolut brauchen laufend gelabelte Daten fuer Betrugs-, Bild- und Dokumentenmodelle - genau das liefert PathWize.</t>
        </is>
      </c>
      <c r="X110" s="18" t="n">
        <v>24</v>
      </c>
      <c r="Y110" s="18" t="n">
        <v>17</v>
      </c>
      <c r="Z110" s="18" t="n">
        <v>10</v>
      </c>
      <c r="AA110" s="18" t="n">
        <v>5</v>
      </c>
      <c r="AB110" s="18" t="n">
        <v>10</v>
      </c>
      <c r="AC110" s="15" t="inlineStr">
        <is>
          <t>Mittel</t>
        </is>
      </c>
      <c r="AD110" s="15" t="inlineStr">
        <is>
          <t>Bestandsliste</t>
        </is>
      </c>
      <c r="AE110" s="16" t="inlineStr">
        <is>
          <t>https://targetglobal.vc/</t>
        </is>
      </c>
      <c r="AF110" s="16" t="inlineStr">
        <is>
          <t>https://targetglobal.vc/, https://tracxn.com/d/venture-capital/targetglobal/__yMWsERWGY2o1EhBsDgTUh2SoY5GMJpGIhjkh95XKFbg, https://pitchbook.com/profiles/fund/20937-07F, https://www.eu-startups.com/2020/02/target-global-launches-e120-million-early-stage-fund-ii-to-back-tech-founders-across-europe/, https://startup-map.berlin/investors/target_global</t>
        </is>
      </c>
    </row>
    <row r="111">
      <c r="A111" s="22" t="n">
        <v>107</v>
      </c>
      <c r="B111" s="23" t="inlineStr">
        <is>
          <t>Caesar Ventures</t>
        </is>
      </c>
      <c r="C111" s="20" t="inlineStr">
        <is>
          <t>B</t>
        </is>
      </c>
      <c r="D111" s="20" t="n">
        <v>65</v>
      </c>
      <c r="E111" s="15" t="inlineStr">
        <is>
          <t>Berlin (zweiter Standort Muenchen)</t>
        </is>
      </c>
      <c r="F111" s="15" t="inlineStr">
        <is>
          <t>Deutschland</t>
        </is>
      </c>
      <c r="G111" s="15" t="inlineStr">
        <is>
          <t>VC / Angel-Kollektiv von Unternehmern ('We invest before investing')</t>
        </is>
      </c>
      <c r="H111" s="16" t="inlineStr">
        <is>
          <t>Sehr fruehe Phase (Pre-Seed / Seed)</t>
        </is>
      </c>
      <c r="I111" s="15" t="inlineStr">
        <is>
          <t>Teilweise (investiert eigenes Kapital der Partner, tritt als aktiver Frueh-Investor auf; Lead-Rolle nicht explizit ausgewiesen)</t>
        </is>
      </c>
      <c r="J111" s="16" t="inlineStr">
        <is>
          <t>n/a (nicht auf der Website ausgewiesen)</t>
        </is>
      </c>
      <c r="K111" s="16" t="inlineStr">
        <is>
          <t>n/a (nicht auf der Website ausgewiesen)</t>
        </is>
      </c>
      <c r="L111" s="15" t="inlineStr">
        <is>
          <t>Teilweise</t>
        </is>
      </c>
      <c r="M111" s="16" t="inlineStr">
        <is>
          <t>Sektoragnostischer Frueh-Phasen-Tech-Investor mit Werte-/Impact-Anspruch ('companies with the potential to improve our society, our planet, and people's lives'); Team deckt FinTech, GreenTech, Real Estate, Digital Health und AI ab.</t>
        </is>
      </c>
      <c r="N111" s="16" t="inlineStr">
        <is>
          <t>freshflow (AI-Bedarfsprognose fuer den Lebensmitteleinzelhandel), Optimeleon (AI-Website-Personalisierung), Myriad, Lucid, RocketTutor; im Team ein Partner mit Profil 'AI founder, tech lead, angel investor'</t>
        </is>
      </c>
      <c r="O111" s="16" t="inlineStr">
        <is>
          <t>Mittel: sektoragnostisch und AI-affin, aber ohne dedizierte Data-Infra-/MLOps-These oder Labeling-Investment.</t>
        </is>
      </c>
      <c r="P111" s="16" t="inlineStr">
        <is>
          <t>-</t>
        </is>
      </c>
      <c r="Q111" s="16" t="inlineStr">
        <is>
          <t>Andy (Nachname auf der Website nicht ausgewiesen)</t>
        </is>
      </c>
      <c r="R111" s="16" t="inlineStr">
        <is>
          <t>Partner/Teammitglied, Profil: 'AI founder, tech lead, angel investor' - relevanteste AI-Kompetenz im Team; Co-Founder/Partner sind 'Caro' und 'Gregor'</t>
        </is>
      </c>
      <c r="S111" s="16" t="inlineStr">
        <is>
          <t>n/a</t>
        </is>
      </c>
      <c r="T111" s="16" t="inlineStr">
        <is>
          <t>pitch@caesar.vc (Pitches), contact@caesar.vc (allgemein), Schoenhauser Allee 8, 10119 Berlin</t>
        </is>
      </c>
      <c r="U111" s="16" t="inlineStr">
        <is>
          <t>Sehr frueher, sektoragnostischer Berliner Investor mit AI-Kompetenz im Team und AI-Portfolio (freshflow, Optimeleon) - ideal fuer eine Pre-Seed-Runde, aber ohne Data-Infra-Spezialisierung und mit unbekanntem Fondsvolumen.</t>
        </is>
      </c>
      <c r="V111" s="16" t="inlineStr">
        <is>
          <t>Fondsgroesse und Ticketgroesse nicht oeffentlich; Team wird nur mit Vornamen gefuehrt (geringe Transparenz); begrenzte Follow-on-Kapazitaet fuer Series A wahrscheinlich.</t>
        </is>
      </c>
      <c r="W111" s="16" t="inlineStr">
        <is>
          <t>Direkt an pitch@caesar.vc mit dem Pre-Seed-Case und dem AI-Operator-Angle - der 'AI founder' im Team ist der natuerliche Sponsor fuer ein Trainingsdaten-Geschaeft.</t>
        </is>
      </c>
      <c r="X111" s="18" t="n">
        <v>27</v>
      </c>
      <c r="Y111" s="18" t="n">
        <v>14</v>
      </c>
      <c r="Z111" s="18" t="n">
        <v>9</v>
      </c>
      <c r="AA111" s="18" t="n">
        <v>5</v>
      </c>
      <c r="AB111" s="18" t="n">
        <v>10</v>
      </c>
      <c r="AC111" s="15" t="inlineStr">
        <is>
          <t>Mittel</t>
        </is>
      </c>
      <c r="AD111" s="15" t="inlineStr">
        <is>
          <t>Bestandsliste</t>
        </is>
      </c>
      <c r="AE111" s="16" t="inlineStr">
        <is>
          <t>https://www.caesar.vc</t>
        </is>
      </c>
      <c r="AF111" s="16" t="inlineStr">
        <is>
          <t>https://www.caesar.vc/, https://www.caesar.vc/team</t>
        </is>
      </c>
    </row>
    <row r="112">
      <c r="A112" s="22" t="n">
        <v>108</v>
      </c>
      <c r="B112" s="23" t="inlineStr">
        <is>
          <t>XAnge</t>
        </is>
      </c>
      <c r="C112" s="20" t="inlineStr">
        <is>
          <t>B</t>
        </is>
      </c>
      <c r="D112" s="20" t="n">
        <v>65</v>
      </c>
      <c r="E112" s="15" t="inlineStr">
        <is>
          <t>Paris (Büros: Berlin, Brüssel)</t>
        </is>
      </c>
      <c r="F112" s="15" t="inlineStr">
        <is>
          <t>Frankreich</t>
        </is>
      </c>
      <c r="G112" s="15" t="inlineStr">
        <is>
          <t>VC (Early Stage, Teil der Siparex-Gruppe)</t>
        </is>
      </c>
      <c r="H112" s="16" t="inlineStr">
        <is>
          <t>Frühphase (Seed und Series A)</t>
        </is>
      </c>
      <c r="I112" s="18" t="inlineStr">
        <is>
          <t>Ja</t>
        </is>
      </c>
      <c r="J112" s="16" t="inlineStr">
        <is>
          <t>n/a (auf der Website nicht ausgewiesen)</t>
        </is>
      </c>
      <c r="K112" s="16" t="inlineStr">
        <is>
          <t>n/a (fünf Fondsgenerationen XAnge 1 bis XAnge 5; Einzelgrößen nicht ausgewiesen)</t>
        </is>
      </c>
      <c r="L112" s="15" t="inlineStr">
        <is>
          <t>Teilweise</t>
        </is>
      </c>
      <c r="M112" s="16" t="inlineStr">
        <is>
          <t>'European Game Changers' - Frühphaseninvestor mit Fokus auf Deglobalisierung, Inflation, Klimawandel und digitale Souveränität. 200+ finanzierte Unternehmen, 120+ Exits, 5 Unicorns.</t>
        </is>
      </c>
      <c r="N112" s="16" t="inlineStr">
        <is>
          <t>Vertical Compute (Compute-Infrastruktur), Ledger, Odoo, Believe, Lydia, Skello, LegalPlace - Website-belegt. Ein ausgewiesenes AI-/Data-Infrastruktur-Portfolio ist auf der Startseite nicht erkennbar.</t>
        </is>
      </c>
      <c r="O112" s="16" t="inlineStr">
        <is>
          <t>Mittel. Die These 'digitale Souveränität' ist ein guter Aufhänger für europäische Trainingsdaten-Infrastruktur, aber der belegbare Track Record liegt eher in Consumer-, FinTech- und SaaS-Themen.</t>
        </is>
      </c>
      <c r="P112" s="16" t="inlineStr">
        <is>
          <t>Data-Infra-nah</t>
        </is>
      </c>
      <c r="Q112" s="16" t="inlineStr">
        <is>
          <t>Cyril Bertrand</t>
        </is>
      </c>
      <c r="R112" s="16" t="inlineStr">
        <is>
          <t>Managing Partner (Website-belegt)</t>
        </is>
      </c>
      <c r="S112" s="16" t="inlineStr">
        <is>
          <t>n/a</t>
        </is>
      </c>
      <c r="T112" s="16" t="inlineStr">
        <is>
          <t>Bereich 'Send your pitch' auf https://www.xange.vc/ ; Berliner Büro: Linienstraße 86, 10119 Berlin</t>
        </is>
      </c>
      <c r="U112" s="16" t="inlineStr">
        <is>
          <t>Frühphasenfonds mit echtem Berliner Büro und damit gutem DACH-Zugang; die These 'digitale Souveränität' passt argumentativ zu europäischer Trainingsdaten-Infrastruktur. Der belegbare AI-/Data-Track-Record ist jedoch dünn, das Portfolio wirkt stark FinTech- und Consumer-getrieben.</t>
        </is>
      </c>
      <c r="V112" s="16" t="inlineStr">
        <is>
          <t>Kein sichtbares AI-Infrastruktur-Portfolio; PathWize wäre eine Erst-These für den Fonds. Keine öffentlichen Ticket- oder Fondsgrößen. Investmentteam laut Website überwiegend in Paris - das Berliner Büro ist dünn besetzt.</t>
        </is>
      </c>
      <c r="W112" s="16" t="inlineStr">
        <is>
          <t>Über das Berliner Büro und das Thema digitale Souveränität einsteigen: europäische AI-Modelle dürfen ihre Trainingsdaten nicht in Drittstaaten annotieren lassen. EU AI Act als regulatorischen Rückenwind für die Nachfrage nach dokumentierten, auditierbaren Labeling-Prozessen darstellen.</t>
        </is>
      </c>
      <c r="X112" s="18" t="n">
        <v>25</v>
      </c>
      <c r="Y112" s="18" t="n">
        <v>15</v>
      </c>
      <c r="Z112" s="18" t="n">
        <v>8</v>
      </c>
      <c r="AA112" s="18" t="n">
        <v>8</v>
      </c>
      <c r="AB112" s="18" t="n">
        <v>9</v>
      </c>
      <c r="AC112" s="15" t="inlineStr">
        <is>
          <t>Mittel</t>
        </is>
      </c>
      <c r="AD112" s="15" t="inlineStr">
        <is>
          <t>NEU – Recherche-Ergaenzung</t>
        </is>
      </c>
      <c r="AE112" s="16" t="inlineStr">
        <is>
          <t>https://www.xange.vc/</t>
        </is>
      </c>
      <c r="AF112" s="16" t="inlineStr">
        <is>
          <t>https://www.xange.vc/</t>
        </is>
      </c>
    </row>
    <row r="113">
      <c r="A113" s="22" t="n">
        <v>109</v>
      </c>
      <c r="B113" s="23" t="inlineStr">
        <is>
          <t>MIG Capital</t>
        </is>
      </c>
      <c r="C113" s="20" t="inlineStr">
        <is>
          <t>B</t>
        </is>
      </c>
      <c r="D113" s="20" t="n">
        <v>64</v>
      </c>
      <c r="E113" s="15" t="inlineStr">
        <is>
          <t>München (Ismaninger Straße 102)</t>
        </is>
      </c>
      <c r="F113" s="15" t="inlineStr">
        <is>
          <t>Deutschland</t>
        </is>
      </c>
      <c r="G113" s="15" t="inlineStr">
        <is>
          <t>Venture Capital (Retail-finanziert, 100% von Privatanlegern)</t>
        </is>
      </c>
      <c r="H113" s="16" t="inlineStr">
        <is>
          <t>Seed-Phase, Folgefinanzierungen über die Unternehmensentwicklung</t>
        </is>
      </c>
      <c r="I113" s="15" t="inlineStr">
        <is>
          <t>Ja (führt Seed-Runden im Deep-Tech-Bereich häufig an)</t>
        </is>
      </c>
      <c r="J113" s="16" t="inlineStr">
        <is>
          <t>typisch ca. 1 Mio. EUR Erstinvestment</t>
        </is>
      </c>
      <c r="K113" s="16" t="inlineStr">
        <is>
          <t>1,2 Mrd. EUR committed capital über 17 Fonds; 17 Exits, davon 4 IPOs, 2 Unicorns (BioNTech, IQM)</t>
        </is>
      </c>
      <c r="L113" s="15" t="inlineStr">
        <is>
          <t>Teilweise</t>
        </is>
      </c>
      <c r="M113" s="16" t="inlineStr">
        <is>
          <t>Life Science und Deep Tech in Europa; Team aus Physikern, Biologen, Ingenieuren und Chemikern; Fokus auf naturwissenschaftlich-technisch begründete Innovationen</t>
        </is>
      </c>
      <c r="N113" s="16" t="inlineStr">
        <is>
          <t>Luffy AI, Inbolt (AI-basierte 3D-Vision für Roboter), NavVis (räumliche Daten/Mapping), Mimi Hearing Technologies; Kernportfolio jedoch BioNTech, IQM (Quantencomputing)</t>
        </is>
      </c>
      <c r="O113" s="16" t="inlineStr">
        <is>
          <t>Mittel - Inbolt und Luffy AI zeigen Offenheit für AI/Computer Vision, aber der Schwerpunkt liegt klar auf Life Science, Quantentechnologie und Hardware-Deep-Tech, nicht auf Software-Data-Infrastruktur</t>
        </is>
      </c>
      <c r="P113" s="16" t="inlineStr">
        <is>
          <t>-</t>
        </is>
      </c>
      <c r="Q113" s="16" t="inlineStr">
        <is>
          <t>n/a</t>
        </is>
      </c>
      <c r="R113" s="16" t="inlineStr">
        <is>
          <t>n/a (Team auf der Website nicht namentlich mit Rollen ausgewiesen)</t>
        </is>
      </c>
      <c r="S113" s="16" t="inlineStr">
        <is>
          <t>n/a</t>
        </is>
      </c>
      <c r="T113" s="16" t="inlineStr">
        <is>
          <t>https://www.mig-fonds.de/ (Pitch-Einreichung), https://www.mig.ag/en/team/</t>
        </is>
      </c>
      <c r="U113" s="16" t="inlineStr">
        <is>
          <t>MIG ist ein etablierter Münchner Seed-Investor mit passendem Ticket von rund 1 Mio. EUR und deutschem Fokus, hat aber eine Life-Science- und Hardware-Deep-Tech-These ohne Software-/Data-Infrastruktur-Schwerpunkt. AI erscheint nur vereinzelt (Inbolt, Luffy AI) im Portfolio.</t>
        </is>
      </c>
      <c r="V113" s="16" t="inlineStr">
        <is>
          <t>Kein expliziter AI-/Data-Infra-Fokus; Life-Science-Lastigkeit; Retail-finanziertes Modell kann zu längeren Entscheidungszyklen und begrenzter Follow-on-Flexibilität führen; Partnerstruktur öffentlich intransparent</t>
        </is>
      </c>
      <c r="W113" s="16" t="inlineStr">
        <is>
          <t>PathWize als Deep-Tech-Enabler positionieren: hochspezialisierte Fachannotation für wissenschaftliche und medizinische Datensätze, die MIG-Portfoliofirmen im Life-Science- und Robotikbereich (Inbolt) direkt benötigen.</t>
        </is>
      </c>
      <c r="X113" s="18" t="n">
        <v>26</v>
      </c>
      <c r="Y113" s="18" t="n">
        <v>13</v>
      </c>
      <c r="Z113" s="18" t="n">
        <v>8</v>
      </c>
      <c r="AA113" s="18" t="n">
        <v>7</v>
      </c>
      <c r="AB113" s="18" t="n">
        <v>10</v>
      </c>
      <c r="AC113" s="15" t="inlineStr">
        <is>
          <t>Mittel</t>
        </is>
      </c>
      <c r="AD113" s="15" t="inlineStr">
        <is>
          <t>Bestandsliste</t>
        </is>
      </c>
      <c r="AE113" s="16" t="inlineStr">
        <is>
          <t>https://www.mig.ag/en/</t>
        </is>
      </c>
      <c r="AF113" s="16" t="inlineStr">
        <is>
          <t>https://www.mig.ag/en/, https://www.mig.ag/en/team/, https://www.mig-fonds.de/</t>
        </is>
      </c>
    </row>
    <row r="114">
      <c r="A114" s="22" t="n">
        <v>110</v>
      </c>
      <c r="B114" s="23" t="inlineStr">
        <is>
          <t>Notion Capital</t>
        </is>
      </c>
      <c r="C114" s="20" t="inlineStr">
        <is>
          <t>B</t>
        </is>
      </c>
      <c r="D114" s="20" t="n">
        <v>64</v>
      </c>
      <c r="E114" s="15" t="inlineStr">
        <is>
          <t>London</t>
        </is>
      </c>
      <c r="F114" s="15" t="inlineStr">
        <is>
          <t>Vereinigtes Königreich</t>
        </is>
      </c>
      <c r="G114" s="15" t="inlineStr">
        <is>
          <t>VC (unabhängig, B2B-/SaaS-Spezialist, von Gründern geführt; FCA-reguliert)</t>
        </is>
      </c>
      <c r="H114" s="16" t="inlineStr">
        <is>
          <t>Early Stage (Seed und Series A), Begleitung von ca. 1 Mio. bis über 100 Mio. USD Umsatz</t>
        </is>
      </c>
      <c r="I114" s="18" t="inlineStr">
        <is>
          <t>Ja</t>
        </is>
      </c>
      <c r="J114" s="16" t="inlineStr">
        <is>
          <t>n/a (auf der Startseite nicht ausgewiesen)</t>
        </is>
      </c>
      <c r="K114" s="16" t="inlineStr">
        <is>
          <t>ca. 1 Mrd. USD verwaltetes Vermögen; über 200 finanzierte Unternehmen</t>
        </is>
      </c>
      <c r="L114" s="15" t="inlineStr">
        <is>
          <t>Teilweise</t>
        </is>
      </c>
      <c r="M114" s="16" t="inlineStr">
        <is>
          <t>Europäische Business-Software in vier Kategorien: 'Knowledge' (SaaS), 'Labour' (AI-getriebene Services-Software für Beratung, Recht, Buchhaltung, Werbung), 'Machines' (Software mit AI-Integration in die physische Welt) und 'Money' (FinTech).</t>
        </is>
      </c>
      <c r="N114" s="16" t="inlineStr">
        <is>
          <t>Aikido Security, Quantum Systems (München, Drohnen mit AI-Auswertung), Mews, GoCardless, Paddle, Upvest, Currencycloud, YuLife - Website-belegt. Ein dediziertes Data-Infrastruktur-Portfolio ist nicht ausgewiesen.</t>
        </is>
      </c>
      <c r="O114" s="16" t="inlineStr">
        <is>
          <t>Mittel. Die Kategorien 'Labour' und 'Machines' setzen strukturell annotierte Daten voraus (AI-Services-Software, physische AI wie Quantum Systems), aber Notion investiert in die Anwendungsebene, nicht in die Datenschicht.</t>
        </is>
      </c>
      <c r="P114" s="16" t="inlineStr">
        <is>
          <t>Data-Infra-nah</t>
        </is>
      </c>
      <c r="Q114" s="16" t="inlineStr">
        <is>
          <t>Stephen Chandler</t>
        </is>
      </c>
      <c r="R114" s="16" t="inlineStr">
        <is>
          <t>Managing Partner / Mitgründer (nicht in dieser Recherche über die Website verifiziert)</t>
        </is>
      </c>
      <c r="S114" s="16" t="inlineStr">
        <is>
          <t>n/a</t>
        </is>
      </c>
      <c r="T114" s="16" t="inlineStr">
        <is>
          <t>Pitch-Einreichung per Typeform über https://www.notioncapital.com/</t>
        </is>
      </c>
      <c r="U114" s="16" t="inlineStr">
        <is>
          <t>Etablierter, kapitalstarker B2B-Software-Fonds (ca. 1 Mrd. USD AUM) mit klarer AI-Kategorisierung in der These und einem deutschen Investment (Quantum Systems, München). Der Schwerpunkt liegt jedoch auf SaaS-Anwendungen und AI-getriebenen Services, nicht auf Dateninfrastruktur - PathWize wäre ein Randthema.</t>
        </is>
      </c>
      <c r="V114" s="16" t="inlineStr">
        <is>
          <t>Kein Pre-Seed; erwartet in der Regel bereits wiederkehrenden Umsatz. Keine belegbare Data-Infra- oder MLOps-Kompetenz im Portfolio. Kein DACH-Büro. Ticketgrößen nicht öffentlich.</t>
        </is>
      </c>
      <c r="W114" s="16" t="inlineStr">
        <is>
          <t>An die Kategorie 'Labour' andocken: AI-getriebene Services-Software ist genau das Modell, das PathWize selbst darstellt - menschliche Arbeit, durch Software skaliert und margenseitig verbessert. Diese Framing-Brücke explizit bauen und mit Bruttomargenentwicklung sowie Automatisierungsquote belegen. Quantum Systems als potenzieller Kunde für annotierte Luftbilddaten nennen.</t>
        </is>
      </c>
      <c r="X114" s="18" t="n">
        <v>22</v>
      </c>
      <c r="Y114" s="18" t="n">
        <v>18</v>
      </c>
      <c r="Z114" s="18" t="n">
        <v>9</v>
      </c>
      <c r="AA114" s="18" t="n">
        <v>8</v>
      </c>
      <c r="AB114" s="18" t="n">
        <v>7</v>
      </c>
      <c r="AC114" s="15" t="inlineStr">
        <is>
          <t>Mittel</t>
        </is>
      </c>
      <c r="AD114" s="15" t="inlineStr">
        <is>
          <t>NEU – Recherche-Ergaenzung</t>
        </is>
      </c>
      <c r="AE114" s="16" t="inlineStr">
        <is>
          <t>https://www.notioncapital.com/</t>
        </is>
      </c>
      <c r="AF114" s="16" t="inlineStr">
        <is>
          <t>https://www.notioncapital.com/</t>
        </is>
      </c>
    </row>
    <row r="115">
      <c r="A115" s="22" t="n">
        <v>111</v>
      </c>
      <c r="B115" s="23" t="inlineStr">
        <is>
          <t>Verve Ventures</t>
        </is>
      </c>
      <c r="C115" s="20" t="inlineStr">
        <is>
          <t>B</t>
        </is>
      </c>
      <c r="D115" s="20" t="n">
        <v>64</v>
      </c>
      <c r="E115" s="15" t="inlineStr">
        <is>
          <t>Zuerich (+ Lausanne, Berlin, Paris)</t>
        </is>
      </c>
      <c r="F115" s="18" t="inlineStr">
        <is>
          <t>CH</t>
        </is>
      </c>
      <c r="G115" s="15" t="inlineStr">
        <is>
          <t>VC mit angeschlossenem Private-Investoren-Netzwerk</t>
        </is>
      </c>
      <c r="H115" s="16" t="inlineStr">
        <is>
          <t>Seed bis Series C, Schwerpunkt Seed und Series A</t>
        </is>
      </c>
      <c r="I115" s="15" t="inlineStr">
        <is>
          <t>Selten - typischerweise Co-Investor, syndiziert mit dem eigenen Investorennetzwerk</t>
        </is>
      </c>
      <c r="J115" s="16" t="inlineStr">
        <is>
          <t>durchschnittlich ca. 1 Mio. CHF Erstticket, bis 5 Mio. CHF ueber die Lifetime</t>
        </is>
      </c>
      <c r="K115" s="16" t="inlineStr">
        <is>
          <t>ueber 278 Mio. EUR AUM</t>
        </is>
      </c>
      <c r="L115" s="15" t="inlineStr">
        <is>
          <t>Teilweise</t>
        </is>
      </c>
      <c r="M115" s="16" t="inlineStr">
        <is>
          <t>Deep Tech in drei Feldern: Health/Biotech, Mobility sowie ein technologieoffener Bereich mit Verankerung in AI, Machine Learning und NLP; zusaetzlich Computing, Energie, Robotik</t>
        </is>
      </c>
      <c r="N115" s="16" t="inlineStr">
        <is>
          <t>Q.ANT (photonisches Computing), Verity (autonome Drohnen/Computer Vision), C12 (Quantum), Metafuels; 61 Series-A- und 46 Seed-Investments insgesamt</t>
        </is>
      </c>
      <c r="O115" s="16" t="inlineStr">
        <is>
          <t>Niedrig-Mittel - AI/ML/NLP wird als Verankerungsthema genannt, das belegte Portfolio ist aber hardware- und life-science-lastig</t>
        </is>
      </c>
      <c r="P115" s="16" t="inlineStr">
        <is>
          <t>-</t>
        </is>
      </c>
      <c r="Q115" s="16" t="inlineStr">
        <is>
          <t>Lukas Weber</t>
        </is>
      </c>
      <c r="R115" s="16" t="inlineStr">
        <is>
          <t>Co-Founder / Partner (Mitgruender Steffen Wagner; ca. 15 Partner insgesamt)</t>
        </is>
      </c>
      <c r="S115" s="16" t="inlineStr">
        <is>
          <t>n/a</t>
        </is>
      </c>
      <c r="T115" s="16" t="inlineStr">
        <is>
          <t>Kontaktformular auf https://www.verve-ventures.com/; Berliner Buero vorhanden</t>
        </is>
      </c>
      <c r="U115" s="16" t="inlineStr">
        <is>
          <t>Seed-/Series-A-Tickets von ca. 1 Mio. CHF und ein Berliner Buero passen, aber die Deep-Tech-These ist auf Photonik, Quantum, Health und Mobility ausgerichtet - Data-Labeling ist thesenfern.</t>
        </is>
      </c>
      <c r="V115" s="16" t="inlineStr">
        <is>
          <t>Fuehrt Runden praktisch nie an; kein belegtes Data-Infra-/MLOps-Investment; Investorennetzwerk-Modell erzeugt fragmentierte Cap-Table-Struktur</t>
        </is>
      </c>
      <c r="W115" s="16" t="inlineStr">
        <is>
          <t>Als Co-Investor neben einem deutschen Lead ansprechen und die Labeling-Nachfrage der eigenen Computer-Vision-Beteiligung Verity als konkreten Anknuepfungspunkt nennen.</t>
        </is>
      </c>
      <c r="X115" s="18" t="n">
        <v>22</v>
      </c>
      <c r="Y115" s="18" t="n">
        <v>17</v>
      </c>
      <c r="Z115" s="18" t="n">
        <v>7</v>
      </c>
      <c r="AA115" s="18" t="n">
        <v>8</v>
      </c>
      <c r="AB115" s="18" t="n">
        <v>10</v>
      </c>
      <c r="AC115" s="15" t="inlineStr">
        <is>
          <t>Mittel</t>
        </is>
      </c>
      <c r="AD115" s="15" t="inlineStr">
        <is>
          <t>Bestandsliste</t>
        </is>
      </c>
      <c r="AE115" s="16" t="inlineStr">
        <is>
          <t>https://www.verve-ventures.com/ (auch verve.vc)</t>
        </is>
      </c>
      <c r="AF115" s="16" t="inlineStr">
        <is>
          <t>https://www.verve-ventures.com/, https://www.verve-ventures.com/portfolio, https://tracxn.com/d/venture-capital/verve-ventures/___rPcJVtEf92zSPo8vNuSGLw6mrUb-8-kMve0ObQT2fk, https://www.cbinsights.com/investor/investiere</t>
        </is>
      </c>
    </row>
    <row r="116">
      <c r="A116" s="22" t="n">
        <v>112</v>
      </c>
      <c r="B116" s="23" t="inlineStr">
        <is>
          <t>1745 Ventures</t>
        </is>
      </c>
      <c r="C116" s="20" t="inlineStr">
        <is>
          <t>B</t>
        </is>
      </c>
      <c r="D116" s="20" t="n">
        <v>63</v>
      </c>
      <c r="E116" s="15" t="inlineStr">
        <is>
          <t>New York City</t>
        </is>
      </c>
      <c r="F116" s="15" t="inlineStr">
        <is>
          <t>USA (LP-Bezug nach Deutschland ueber Bertelsmann)</t>
        </is>
      </c>
      <c r="G116" s="15" t="inlineStr">
        <is>
          <t>VC (Spin-out des Corporate-VC Bertelsmann Digital Media Investments)</t>
        </is>
      </c>
      <c r="H116" s="16" t="inlineStr">
        <is>
          <t>Seed und Early Stage, selektiv Series A</t>
        </is>
      </c>
      <c r="I116" s="15" t="inlineStr">
        <is>
          <t>Teilweise; haeufig Co-Investor</t>
        </is>
      </c>
      <c r="J116" s="16" t="inlineStr">
        <is>
          <t>n/a</t>
        </is>
      </c>
      <c r="K116" s="16" t="inlineStr">
        <is>
          <t>ca. 450 Mio. USD (uebernommenes BDMI-Portfolio plus neues Vehikel); Bertelsmann bleibt mit 50 Prozent groesster LP</t>
        </is>
      </c>
      <c r="L116" s="15" t="inlineStr">
        <is>
          <t>Teilweise</t>
        </is>
      </c>
      <c r="M116" s="16" t="inlineStr">
        <is>
          <t>Next-Gen Media, Enterprise SaaS, Fintech, Web3 und Emerging Technology; AI/ML-Plattformen werden als uebergreifendes Querschnittsthema genannt</t>
        </is>
      </c>
      <c r="N116" s="16" t="inlineStr">
        <is>
          <t>ueber 120 Portfolio-Companies, u.a. Acorns, Suzy (Consumer-Insights/Datenplattform), Antenna (Streaming-Analytics), Marfeel, Boostr, Athena, Zoe Financial - Schwerpunkt Media-/Fintech-Daten, keine klassische AI-Infrastruktur</t>
        </is>
      </c>
      <c r="O116" s="16" t="inlineStr">
        <is>
          <t>Niedrig bis mittel - Datenanalytik im Medienumfeld vorhanden, aber kein ML-Infrastruktur- oder Annotationsbezug belegbar</t>
        </is>
      </c>
      <c r="P116" s="16" t="inlineStr">
        <is>
          <t>Data-Infra-nah</t>
        </is>
      </c>
      <c r="Q116" s="16" t="inlineStr">
        <is>
          <t>Urs Cete</t>
        </is>
      </c>
      <c r="R116" s="16" t="inlineStr">
        <is>
          <t>Co-Founder &amp; Managing Partner (deutschsprachig, zuvor Managing Partner BDMI); Co-Founder Sim Blaustein</t>
        </is>
      </c>
      <c r="S116" s="16" t="inlineStr">
        <is>
          <t>https://www.linkedin.com/in/urscete</t>
        </is>
      </c>
      <c r="T116" s="16" t="inlineStr">
        <is>
          <t>info@1745ventures.com; Kontaktformular auf https://www.1745ventures.com/</t>
        </is>
      </c>
      <c r="U116" s="16" t="inlineStr">
        <is>
          <t>Seed-faehiger Fonds mit Enterprise-SaaS- und AI/ML-Plattform-These sowie deutschem LP-Anker ueber Bertelsmann, was den Zugang erleichtert. Der Investmentschwerpunkt liegt jedoch klar auf US-Media und Fintech, nicht auf AI-Dateninfrastruktur - trotz der Listung auf vcgermany.de ist der Sitz New York.</t>
        </is>
      </c>
      <c r="V116" s="16" t="inlineStr">
        <is>
          <t>Listung als deutscher VC ist irrefuehrend - HQ ist New York mit US-Dealflow; Web3 als Kernkategorie deutet auf breiten Opportunismus; Ticketgroesse nicht belegbar</t>
        </is>
      </c>
      <c r="W116" s="16" t="inlineStr">
        <is>
          <t>Ueber den deutschsprachigen Managing Partner Urs Cete und die Bertelsmann-Verbindung einsteigen und PathWize als Trainingsdaten-Lieferant fuer die AI-Transformation der Bertelsmann-Medienassets rahmen.</t>
        </is>
      </c>
      <c r="X116" s="18" t="n">
        <v>24</v>
      </c>
      <c r="Y116" s="18" t="n">
        <v>20</v>
      </c>
      <c r="Z116" s="18" t="n">
        <v>9</v>
      </c>
      <c r="AA116" s="18" t="n">
        <v>7</v>
      </c>
      <c r="AB116" s="18" t="n">
        <v>3</v>
      </c>
      <c r="AC116" s="15" t="inlineStr">
        <is>
          <t>Mittel</t>
        </is>
      </c>
      <c r="AD116" s="15" t="inlineStr">
        <is>
          <t>Bestandsliste</t>
        </is>
      </c>
      <c r="AE116" s="16" t="inlineStr">
        <is>
          <t>https://www.1745ventures.com/</t>
        </is>
      </c>
      <c r="AF116" s="16" t="inlineStr">
        <is>
          <t>https://www.1745ventures.com/, https://www.crunchbase.com/organization/bertelsmann-digital-media-investments, https://www.bertelsmann.com/news-and-media/news/bertelsmann-investments-opens-bdmi-fund-to-broader-investor-base.jsp, https://globalventuring.com/corporate/europe/media-firm-bertelsmann-sells-half-of-startup-fund-to-outside-investors/</t>
        </is>
      </c>
    </row>
    <row r="117">
      <c r="A117" s="22" t="n">
        <v>113</v>
      </c>
      <c r="B117" s="23" t="inlineStr">
        <is>
          <t>DTCP</t>
        </is>
      </c>
      <c r="C117" s="20" t="inlineStr">
        <is>
          <t>B</t>
        </is>
      </c>
      <c r="D117" s="20" t="n">
        <v>63</v>
      </c>
      <c r="E117" s="15" t="inlineStr">
        <is>
          <t>Hamburg (weitere Standorte u.a. Luxemburg, London, USA)</t>
        </is>
      </c>
      <c r="F117" s="15" t="inlineStr">
        <is>
          <t>Deutschland</t>
        </is>
      </c>
      <c r="G117" s="15" t="inlineStr">
        <is>
          <t>Unabhängiger Investment-Manager mit Deutsche-Telekom-Hintergrund (Growth Equity, Infrastruktur, Defence)</t>
        </is>
      </c>
      <c r="H117" s="16" t="inlineStr">
        <is>
          <t>Growth / Expansion, im Regelfall Series B bis Late Stage; Zielunternehmen mit mehreren Mio. EUR ARR</t>
        </is>
      </c>
      <c r="I117" s="15" t="inlineStr">
        <is>
          <t>Ja - führt Growth-Runden an (Growth Equity III: 20-25 Mio. USD in 15-20 Unternehmen)</t>
        </is>
      </c>
      <c r="J117" s="16" t="inlineStr">
        <is>
          <t>ca. 20 bis 25 Mio. USD pro Unternehmen im Growth-Equity-Fonds</t>
        </is>
      </c>
      <c r="K117" s="16" t="inlineStr">
        <is>
          <t>ca. 4,5 Mrd. EUR AUM; Growth Equity III mit finalem Closing bei 330 Mio. USD</t>
        </is>
      </c>
      <c r="L117" s="18" t="inlineStr">
        <is>
          <t>Ja</t>
        </is>
      </c>
      <c r="M117" s="16" t="inlineStr">
        <is>
          <t>Drei Säulen: Growth (Cybersecurity, Vertical SaaS, DevOps, Cloud, AI, Robotics in Europa, USA und Israel), Infra (Rechenzentren, Funktürme, Glasfaser im europäischen Mittelstand) und Defence (Sicherheit und strategische Autonomie Europas).</t>
        </is>
      </c>
      <c r="N117" s="16" t="inlineStr">
        <is>
          <t>Dremio (Data-Lakehouse, Exit an SAP 2026), Dash0 (Observability, Unicorn), LeanIX (Exit an SAP), Keepler (Data-/AI-Consulting, Exit an Accenture), zusätzlich Rechenzentrums-Infrastruktur</t>
        </is>
      </c>
      <c r="O117" s="16" t="inlineStr">
        <is>
          <t>Thematisch sehr hoch (Data-Lakehouse, Observability, DevOps), phasenseitig aber irrelevant für Pre-Seed/Seed - erst ab Series B/Growth ein realistischer Adressat.</t>
        </is>
      </c>
      <c r="P117" s="16" t="inlineStr">
        <is>
          <t>Data-Infra-nah</t>
        </is>
      </c>
      <c r="Q117" s="16" t="inlineStr">
        <is>
          <t>n/a (Partnernamen werden auf der Website nicht öffentlich einzeln ausgewiesen)</t>
        </is>
      </c>
      <c r="R117" s="16" t="inlineStr">
        <is>
          <t>n/a</t>
        </is>
      </c>
      <c r="S117" s="16" t="inlineStr">
        <is>
          <t>n/a</t>
        </is>
      </c>
      <c r="T117" s="16" t="inlineStr">
        <is>
          <t>Kontaktseite auf https://www.dtcp.capital/ ; öffentliche Pitch-E-Mail: n/a</t>
        </is>
      </c>
      <c r="U117" s="16" t="inlineStr">
        <is>
          <t>Thesen- und Portfolio-Fit ist exzellent (Dremio, Dash0, LeanIX - Data- und DevOps-Infrastruktur), aber DTCP investiert erst ab Series B in umsatzstarke Scale-ups und ist damit für die aktuelle Pre-Seed-/Seed-/Series-A-Suche kein passender Adressat.</t>
        </is>
      </c>
      <c r="V117" s="16" t="inlineStr">
        <is>
          <t>Klarer Stage-Mismatch: Mindestanforderung mehrere Mio. EUR ARR, Tickets von 20 bis 25 Mio. USD. Keine öffentlichen Partner-Kontaktdaten.</t>
        </is>
      </c>
      <c r="W117" s="16" t="inlineStr">
        <is>
          <t>Jetzt nur als Beziehungsaufbau für spätere Runden ansprechen - PathWize als künftiger Data-Layer im Umfeld der Dremio-/Dash0-These auf die Watchlist setzen.</t>
        </is>
      </c>
      <c r="X117" s="18" t="n">
        <v>4</v>
      </c>
      <c r="Y117" s="18" t="n">
        <v>24</v>
      </c>
      <c r="Z117" s="18" t="n">
        <v>17</v>
      </c>
      <c r="AA117" s="18" t="n">
        <v>8</v>
      </c>
      <c r="AB117" s="18" t="n">
        <v>10</v>
      </c>
      <c r="AC117" s="18" t="inlineStr">
        <is>
          <t>Hoch</t>
        </is>
      </c>
      <c r="AD117" s="15" t="inlineStr">
        <is>
          <t>Bestandsliste</t>
        </is>
      </c>
      <c r="AE117" s="16" t="inlineStr">
        <is>
          <t>https://www.dtcp.capital/</t>
        </is>
      </c>
      <c r="AF117" s="16" t="inlineStr">
        <is>
          <t>https://www.dtcp.capital/, https://globalventuring.com/corporate/corporate-venturer/deutsche-telekom-backed-dtcp-gets-450m-for-two-funds/, https://www.openvc.app/fund/DTCP%20Deutsche%20Telekom%20Capital%20Partners, https://www.startuphub.ai/investors/deutsche-telekom-capital-partners</t>
        </is>
      </c>
    </row>
    <row r="118">
      <c r="A118" s="22" t="n">
        <v>114</v>
      </c>
      <c r="B118" s="23" t="inlineStr">
        <is>
          <t>Global Founders Capital</t>
        </is>
      </c>
      <c r="C118" s="20" t="inlineStr">
        <is>
          <t>B</t>
        </is>
      </c>
      <c r="D118" s="20" t="n">
        <v>63</v>
      </c>
      <c r="E118" s="15" t="inlineStr">
        <is>
          <t>Berlin</t>
        </is>
      </c>
      <c r="F118" s="15" t="inlineStr">
        <is>
          <t>Deutschland (global tätig)</t>
        </is>
      </c>
      <c r="G118" s="15" t="inlineStr">
        <is>
          <t>VC (Multi-Stage, Rocket-Internet-/Samwer-Umfeld)</t>
        </is>
      </c>
      <c r="H118" s="16" t="inlineStr">
        <is>
          <t>Sektoragnostisch und stage-agnostisch, Schwerpunkt sehr früh ('invest early and across sectors, supporting founders from day one')</t>
        </is>
      </c>
      <c r="I118" s="15" t="inlineStr">
        <is>
          <t>Ja – hat historisch Seed- und Series-A-Runden angeführt</t>
        </is>
      </c>
      <c r="J118" s="16" t="inlineStr">
        <is>
          <t>n/a</t>
        </is>
      </c>
      <c r="K118" s="16" t="inlineStr">
        <is>
          <t>n/a (nicht offengelegt; historisch Milliarden-AUM über mehrere Fonds)</t>
        </is>
      </c>
      <c r="L118" s="15" t="inlineStr">
        <is>
          <t>Teilweise</t>
        </is>
      </c>
      <c r="M118" s="16" t="inlineStr">
        <is>
          <t>Sektoragnostisch: Software, Marktplätze, Fintech, E-Commerce, Enterprise SaaS; keine dedizierte AI-/Data-Infrastruktur-These kommuniziert</t>
        </is>
      </c>
      <c r="N118" s="16" t="inlineStr">
        <is>
          <t>n/a – Portfolio wird auf der Website nicht mehr öffentlich gelistet; historisch breite Software-/SaaS-Investments, konkrete Data-Infra-/Labeling-Investments nicht belegbar</t>
        </is>
      </c>
      <c r="O118" s="16" t="inlineStr">
        <is>
          <t>Unklar – breite Software-Kompetenz vorhanden, aber keine belegte Data-Infrastruktur-Spezialisierung</t>
        </is>
      </c>
      <c r="P118" s="16" t="inlineStr">
        <is>
          <t>Data-Infra-nah</t>
        </is>
      </c>
      <c r="Q118" s="16" t="inlineStr">
        <is>
          <t>Cedric Asselman</t>
        </is>
      </c>
      <c r="R118" s="16" t="inlineStr">
        <is>
          <t>Investment Partner (weitere Investment Partners: David Sainteff, Fabricio Pettena; Gründer: Oliver Samwer)</t>
        </is>
      </c>
      <c r="S118" s="16" t="inlineStr">
        <is>
          <t>n/a</t>
        </is>
      </c>
      <c r="T118" s="16" t="inlineStr">
        <is>
          <t>n/a (keine öffentliche Pitch-Adresse; Zugang praktisch nur über Warm Intro/LinkedIn der Partner)</t>
        </is>
      </c>
      <c r="U118" s="16" t="inlineStr">
        <is>
          <t>Berliner Multi-Stage-Investor mit Frühphasen-Bekenntnis und breiter Software-Kompetenz, der grundsätzlich Seed-Runden anführen kann. Die Investitionstätigkeit ist seit dem Marktabschwung aber deutlich reduziert und die Website liefert weder Portfolio noch Kontakt.</t>
        </is>
      </c>
      <c r="V118" s="16" t="inlineStr">
        <is>
          <t>Stark reduzierte Neu-Investitionstätigkeit und Team-Abgänge seit 2022/2023; extrem intransparente Außendarstellung (kein Portfolio, kein Kontakt, keine Fondsdaten); Zugang nur über Warm Intro</t>
        </is>
      </c>
      <c r="W118" s="16" t="inlineStr">
        <is>
          <t>Über einen Warm Intro zu einem Investment Partner (Asselman/Sainteff) mit knallharten Traction- und Effizienzkennzahlen – GFC bewertet primär Wachstum und Kapitaleffizienz, nicht Technologie-Narrative.</t>
        </is>
      </c>
      <c r="X118" s="18" t="n">
        <v>22</v>
      </c>
      <c r="Y118" s="18" t="n">
        <v>15</v>
      </c>
      <c r="Z118" s="18" t="n">
        <v>12</v>
      </c>
      <c r="AA118" s="18" t="n">
        <v>4</v>
      </c>
      <c r="AB118" s="18" t="n">
        <v>10</v>
      </c>
      <c r="AC118" s="15" t="inlineStr">
        <is>
          <t>Niedrig</t>
        </is>
      </c>
      <c r="AD118" s="15" t="inlineStr">
        <is>
          <t>Bestandsliste</t>
        </is>
      </c>
      <c r="AE118" s="16" t="inlineStr">
        <is>
          <t>https://globalfounderscapital.com/</t>
        </is>
      </c>
      <c r="AF118" s="16" t="inlineStr">
        <is>
          <t>https://globalfounderscapital.com/</t>
        </is>
      </c>
    </row>
    <row r="119">
      <c r="A119" s="22" t="n">
        <v>115</v>
      </c>
      <c r="B119" s="23" t="inlineStr">
        <is>
          <t>Next47</t>
        </is>
      </c>
      <c r="C119" s="20" t="inlineStr">
        <is>
          <t>B</t>
        </is>
      </c>
      <c r="D119" s="20" t="n">
        <v>63</v>
      </c>
      <c r="E119" s="15" t="inlineStr">
        <is>
          <t>Muenchen (+ Palo Alto, Tel Aviv)</t>
        </is>
      </c>
      <c r="F119" s="18" t="inlineStr">
        <is>
          <t>DE</t>
        </is>
      </c>
      <c r="G119" s="15" t="inlineStr">
        <is>
          <t>Corporate VC (unabhaengig gefuehrt, von Siemens AG finanziert)</t>
        </is>
      </c>
      <c r="H119" s="16" t="inlineStr">
        <is>
          <t>Schwerpunkt Series B; teils Series A und Expansion-Stage. Kein Pre-Seed/Seed</t>
        </is>
      </c>
      <c r="I119" s="15" t="inlineStr">
        <is>
          <t>Ja - fuehrt Wachstumsrunden an</t>
        </is>
      </c>
      <c r="J119" s="16" t="inlineStr">
        <is>
          <t>n/a (Wachstumstickets, typisch zweistellige Mio. USD)</t>
        </is>
      </c>
      <c r="K119" s="16" t="inlineStr">
        <is>
          <t>ca. 1,2 Mrd. USD</t>
        </is>
      </c>
      <c r="L119" s="18" t="inlineStr">
        <is>
          <t>Ja</t>
        </is>
      </c>
      <c r="M119" s="16" t="inlineStr">
        <is>
          <t>Enterprise Tech: SaaS, IT-Infrastruktur, Industrial Tech (Manufacturing, Bau, Energie, Transport, Logistik, Supply Chain)</t>
        </is>
      </c>
      <c r="N119" s="16" t="inlineStr">
        <is>
          <t>Encord (Data-Development-Plattform fuer Computer Vision und multimodale AI - direkter Annotation-/Labeling-Player, Investment 2024), Kai (125 Mio. USD Series A, Mrz 2026), breites Enterprise-Software-Portfolio</t>
        </is>
      </c>
      <c r="O119" s="16" t="inlineStr">
        <is>
          <t>Sehr hoch inhaltlich - Encord ist ein direkter Data-Labeling-/Annotation-Wettbewerber im Portfolio; damit aber gleichzeitig ein potenzieller Konflikt</t>
        </is>
      </c>
      <c r="P119" s="16" t="inlineStr">
        <is>
          <t>DIREKT: Encord – Wettbewerbskonflikt pruefen</t>
        </is>
      </c>
      <c r="Q119" s="16" t="inlineStr">
        <is>
          <t>n/a (kein namentlich belegbarer Data-Infra-Lead auffindbar)</t>
        </is>
      </c>
      <c r="R119" s="16" t="inlineStr">
        <is>
          <t>n/a</t>
        </is>
      </c>
      <c r="S119" s="16" t="inlineStr">
        <is>
          <t>n/a</t>
        </is>
      </c>
      <c r="T119" s="16" t="inlineStr">
        <is>
          <t>Kontaktformular auf next47.com; kein oeffentliches Pitch-Postfach belegbar</t>
        </is>
      </c>
      <c r="U119" s="16" t="inlineStr">
        <is>
          <t>Thesenseitig ideal - Next47 hat mit Encord einen echten Data-Labeling-Player finanziert und versteht Enterprise-AI-Daten -, aber der Series-B+-Fokus liegt zwei Runden hinter PathWize.</t>
        </is>
      </c>
      <c r="V119" s="16" t="inlineStr">
        <is>
          <t>Kein Pre-Seed/Seed; Encord im Portfolio = direkter Wettbewerber und Interessenkonflikt; geringe erkennbare Deal-Aktivitaet in 2026; Corporate-VC-Abhaengigkeit von Siemens</t>
        </is>
      </c>
      <c r="W119" s="16" t="inlineStr">
        <is>
          <t>Jetzt nur als Beziehungsaufbau fuer die spaetere Series B ansprechen - oder ueber die Siemens-Industriekunden als potenziellen Labeling-Abnehmer statt als Investor.</t>
        </is>
      </c>
      <c r="X119" s="18" t="n">
        <v>5</v>
      </c>
      <c r="Y119" s="18" t="n">
        <v>24</v>
      </c>
      <c r="Z119" s="18" t="n">
        <v>20</v>
      </c>
      <c r="AA119" s="18" t="n">
        <v>5</v>
      </c>
      <c r="AB119" s="18" t="n">
        <v>9</v>
      </c>
      <c r="AC119" s="15" t="inlineStr">
        <is>
          <t>Mittel</t>
        </is>
      </c>
      <c r="AD119" s="15" t="inlineStr">
        <is>
          <t>Bestandsliste</t>
        </is>
      </c>
      <c r="AE119" s="16" t="inlineStr">
        <is>
          <t>https://www.next47.com/</t>
        </is>
      </c>
      <c r="AF119" s="16" t="inlineStr">
        <is>
          <t>https://tracxn.com/d/venture-capital/next47/__bI8hs_enpgZod4GZWlhZ1aGsgpmZ2a0eY9H-LX4BiLM, https://tomorrowdesk.com/info/next47, https://press.siemens.com/global/en/feature/next47-siemens-founds-separate-unit-startups, https://www.crunchbase.com/organization/next47/recent_investments</t>
        </is>
      </c>
    </row>
    <row r="120">
      <c r="A120" s="22" t="n">
        <v>116</v>
      </c>
      <c r="B120" s="23" t="inlineStr">
        <is>
          <t>BMW i Ventures</t>
        </is>
      </c>
      <c r="C120" s="20" t="inlineStr">
        <is>
          <t>B</t>
        </is>
      </c>
      <c r="D120" s="20" t="n">
        <v>62</v>
      </c>
      <c r="E120" s="15" t="inlineStr">
        <is>
          <t>Mountain View (Kalifornien), Bueros in San Francisco und Muenchen</t>
        </is>
      </c>
      <c r="F120" s="15" t="inlineStr">
        <is>
          <t>US (mit DE-Praesenz)</t>
        </is>
      </c>
      <c r="G120" s="15" t="inlineStr">
        <is>
          <t>Corporate VC</t>
        </is>
      </c>
      <c r="H120" s="16" t="inlineStr">
        <is>
          <t>Series A, Series B (vereinzelt spaete Seed-Runden)</t>
        </is>
      </c>
      <c r="I120" s="15" t="inlineStr">
        <is>
          <t>Ja, fuehrt regelmaessig Runden an</t>
        </is>
      </c>
      <c r="J120" s="16" t="inlineStr">
        <is>
          <t>typischerweise einstelliger Mio.-USD-Bereich pro Investment (nicht offiziell ausgewiesen)</t>
        </is>
      </c>
      <c r="K120" s="16" t="inlineStr">
        <is>
          <t>ueber 1,1 Mrd. USD AUM; Fonds III mit 300 Mio. USD (2026) mit AI-Schwerpunkt</t>
        </is>
      </c>
      <c r="L120" s="15" t="inlineStr">
        <is>
          <t>Teilweise</t>
        </is>
      </c>
      <c r="M120" s="16" t="inlineStr">
        <is>
          <t>Mobilitaet, Automotive, Fertigung, Lieferkette, Energie, Industrial Tech; Fonds III explizit AI entlang der Automobilwertschoepfungskette</t>
        </is>
      </c>
      <c r="N120" s="16" t="inlineStr">
        <is>
          <t>Featherless.ai (guenstige AI-Inferenz), diverse AI-Anwendungen in Fertigung und autonomem Fahren; ueber 90 Portfoliounternehmen</t>
        </is>
      </c>
      <c r="O120" s="16" t="inlineStr">
        <is>
          <t>Indirekt relevant: Automotive-/Autonomie-Kunden sind Grossabnehmer von Annotation-Leistungen, aber kein eigenes Labeling-Investment belegt</t>
        </is>
      </c>
      <c r="P120" s="16" t="inlineStr">
        <is>
          <t>-</t>
        </is>
      </c>
      <c r="Q120" s="16" t="inlineStr">
        <is>
          <t>n/a</t>
        </is>
      </c>
      <c r="R120" s="16" t="inlineStr">
        <is>
          <t>n/a</t>
        </is>
      </c>
      <c r="S120" s="16" t="inlineStr">
        <is>
          <t>n/a</t>
        </is>
      </c>
      <c r="T120" s="16" t="inlineStr">
        <is>
          <t>Kontaktformular auf bmwiventures.com; Office Mountain View, 2606 Bayshore Parkway</t>
        </is>
      </c>
      <c r="U120" s="16" t="inlineStr">
        <is>
          <t>Frischer 300-Mio.-USD-Fonds mit explizitem AI-Fokus und Muenchner Praesenz, aber Einstiegspunkt liegt erst bei Series A/B und die These ist stark auf Mobilitaet und Fertigung zugeschnitten.</t>
        </is>
      </c>
      <c r="V120" s="16" t="inlineStr">
        <is>
          <t>Kaum Pre-Seed/Seed; strategische Corporate-Agenda und moegliche Konflikte mit anderen OEM-Kunden von PathWize; US-zentrierte Entscheidungsstruktur</t>
        </is>
      </c>
      <c r="W120" s="16" t="inlineStr">
        <is>
          <t>Erst ab Series A ansprechen und mit konkreten Referenzen aus Automotive-/Perception-Datenannotation plus Zugang zum BMW-Produktionsnetzwerk argumentieren.</t>
        </is>
      </c>
      <c r="X120" s="18" t="n">
        <v>15</v>
      </c>
      <c r="Y120" s="18" t="n">
        <v>18</v>
      </c>
      <c r="Z120" s="18" t="n">
        <v>11</v>
      </c>
      <c r="AA120" s="18" t="n">
        <v>10</v>
      </c>
      <c r="AB120" s="18" t="n">
        <v>8</v>
      </c>
      <c r="AC120" s="15" t="inlineStr">
        <is>
          <t>Mittel</t>
        </is>
      </c>
      <c r="AD120" s="15" t="inlineStr">
        <is>
          <t>Bestandsliste</t>
        </is>
      </c>
      <c r="AE120" s="16" t="inlineStr">
        <is>
          <t>https://www.bmwiventures.com/</t>
        </is>
      </c>
      <c r="AF120" s="16" t="inlineStr">
        <is>
          <t>https://www.bmwiventures.com/, https://pitchbook.com/profiles/investor/10538-91, https://www.crunchbase.com/organization/bmw-i-ventures</t>
        </is>
      </c>
    </row>
    <row r="121">
      <c r="A121" s="22" t="n">
        <v>117</v>
      </c>
      <c r="B121" s="23" t="inlineStr">
        <is>
          <t>endeit</t>
        </is>
      </c>
      <c r="C121" s="20" t="inlineStr">
        <is>
          <t>B</t>
        </is>
      </c>
      <c r="D121" s="20" t="n">
        <v>62</v>
      </c>
      <c r="E121" s="15" t="inlineStr">
        <is>
          <t>Amsterdam (DACH-Büro: Hamburg; weiteres Büro: Stockholm)</t>
        </is>
      </c>
      <c r="F121" s="15" t="inlineStr">
        <is>
          <t>Niederlande (mit deutschem Standort)</t>
        </is>
      </c>
      <c r="G121" s="15" t="inlineStr">
        <is>
          <t>VC / Growth-Fonds</t>
        </is>
      </c>
      <c r="H121" s="16" t="inlineStr">
        <is>
          <t>Späte Series A bis frühe Series B (Scale-up-/Growth-Phase)</t>
        </is>
      </c>
      <c r="I121" s="15" t="inlineStr">
        <is>
          <t>Ja - führt Wachstumsrunden an bzw. co-leadet sie</t>
        </is>
      </c>
      <c r="J121" s="16" t="inlineStr">
        <is>
          <t>ca. 5 bis 20 Mio. EUR pro Investment (frühere Angabe: 7 bis 15 Mio. EUR Wachstumskapital)</t>
        </is>
      </c>
      <c r="K121" s="16" t="inlineStr">
        <is>
          <t>ca. 430 Mio. EUR AUM; aktueller Fonds über 300 Mio. EUR (ca. 303 Mio. EUR)</t>
        </is>
      </c>
      <c r="L121" s="18" t="inlineStr">
        <is>
          <t>Ja</t>
        </is>
      </c>
      <c r="M121" s="16" t="inlineStr">
        <is>
          <t>AI-enabled Opportunities in Fintech, Climate Tech, Future of Work, Sales Tech, Supply Chain und Security; Geografie DACH, Benelux, Nordics und UK.</t>
        </is>
      </c>
      <c r="N121" s="16" t="inlineStr">
        <is>
          <t>General Intuition (Frontier-AI-Forschungslabor für Foundation Models), Stravito (AI-gestütztes Knowledge Management), Treefera (AI-basierte Lieferketten-Transparenz), Deftpower, Sastrify, Sharpist</t>
        </is>
      </c>
      <c r="O121" s="16" t="inlineStr">
        <is>
          <t>Mittel bis hoch thematisch (General Intuition als Foundation-Model-Investment impliziert Verständnis für Trainingsdatenbedarf), phasenseitig jedoch erst ab spätem Series A relevant.</t>
        </is>
      </c>
      <c r="P121" s="16" t="inlineStr">
        <is>
          <t>-</t>
        </is>
      </c>
      <c r="Q121" s="16" t="inlineStr">
        <is>
          <t>n/a (Hamburger DACH-Team; einzelne Partnernamen auf der Website nicht eindeutig zugeordnet)</t>
        </is>
      </c>
      <c r="R121" s="16" t="inlineStr">
        <is>
          <t>n/a</t>
        </is>
      </c>
      <c r="S121" s="16" t="inlineStr">
        <is>
          <t>n/a</t>
        </is>
      </c>
      <c r="T121" s="16" t="inlineStr">
        <is>
          <t>info@endeit.de (Hamburg, Colonnaden 41, 20354 Hamburg, +49 40 8740 7981) bzw. info@endeit.com</t>
        </is>
      </c>
      <c r="U121" s="16" t="inlineStr">
        <is>
          <t>Endeit hat eine explizite AI-enabled-These, ein Hamburger DACH-Büro und mit General Intuition ein echtes Foundation-Model-Investment, investiert aber erst ab später Series A mit Tickets von 5 bis 20 Mio. EUR - zu spät für die aktuelle Runde.</t>
        </is>
      </c>
      <c r="V121" s="16" t="inlineStr">
        <is>
          <t>Stage- und Ticket-Mismatch für Pre-Seed/Seed. Sektorschwerpunkte (Fintech, Climate, Future of Work) treffen reine Data-Infrastruktur nur indirekt.</t>
        </is>
      </c>
      <c r="W121" s="16" t="inlineStr">
        <is>
          <t>Als Series-A/B-Zielinvestor vormerken und schon jetzt über das Hamburger Büro Beziehung aufbauen, mit General Intuition als Beleg dafür, dass Endeit den Trainingsdaten-Engpass kennt.</t>
        </is>
      </c>
      <c r="X121" s="18" t="n">
        <v>10</v>
      </c>
      <c r="Y121" s="18" t="n">
        <v>20</v>
      </c>
      <c r="Z121" s="18" t="n">
        <v>14</v>
      </c>
      <c r="AA121" s="18" t="n">
        <v>8</v>
      </c>
      <c r="AB121" s="18" t="n">
        <v>10</v>
      </c>
      <c r="AC121" s="18" t="inlineStr">
        <is>
          <t>Hoch</t>
        </is>
      </c>
      <c r="AD121" s="15" t="inlineStr">
        <is>
          <t>Bestandsliste</t>
        </is>
      </c>
      <c r="AE121" s="16" t="inlineStr">
        <is>
          <t>https://www.endeit.com/</t>
        </is>
      </c>
      <c r="AF121" s="16" t="inlineStr">
        <is>
          <t>https://www.endeit.com/, https://tracxn.com/d/venture-capital/endeit-capital/__Qk1NICUiQqoWQ3SitiEBD8rhk02uP2HwqQ2xL9MFP1Y, https://www.vestbee.com/vc-list/endeit-capital, https://techcrunch.com/2021/04/27/endeit-capital-plans-to-boost-european-b-stage-startups-with-its-new-e250m-growth-fund</t>
        </is>
      </c>
    </row>
    <row r="122">
      <c r="A122" s="22" t="n">
        <v>118</v>
      </c>
      <c r="B122" s="23" t="inlineStr">
        <is>
          <t>LocalGlobe / Phoenix Court</t>
        </is>
      </c>
      <c r="C122" s="20" t="inlineStr">
        <is>
          <t>B</t>
        </is>
      </c>
      <c r="D122" s="20" t="n">
        <v>62</v>
      </c>
      <c r="E122" s="15" t="inlineStr">
        <is>
          <t>London</t>
        </is>
      </c>
      <c r="F122" s="15" t="inlineStr">
        <is>
          <t>Grossbritannien</t>
        </is>
      </c>
      <c r="G122" s="15" t="inlineStr">
        <is>
          <t>VC (Fondsfamilie: LocalGlobe, Latitude, Solar, Phoenix Court Works)</t>
        </is>
      </c>
      <c r="H122" s="16" t="inlineStr">
        <is>
          <t>Pre-Seed und Seed (LocalGlobe); Latitude fuer Series B+</t>
        </is>
      </c>
      <c r="I122" s="15" t="inlineStr">
        <is>
          <t>Ja - fuehrt Pre-Seed-/Seed-Runden an (z.B. Trent AI Seed 13 Mio. USD, Apr 2026)</t>
        </is>
      </c>
      <c r="J122" s="16" t="inlineStr">
        <is>
          <t>ca. 250 Tsd. - 2 Mio. GBP</t>
        </is>
      </c>
      <c r="K122" s="16" t="inlineStr">
        <is>
          <t>ca. 500 Mio. USD ueber vier Fonds (LocalGlobe + Latitude); aktueller Fonds n/a</t>
        </is>
      </c>
      <c r="L122" s="15" t="inlineStr">
        <is>
          <t>Teilweise</t>
        </is>
      </c>
      <c r="M122" s="16" t="inlineStr">
        <is>
          <t>Generalistischer fruehester UK-/Europa-Investor, 'The New Palo Alto' (King's Cross); Fintech, SaaS, Consumer, Marktplaetze, zunehmend AI</t>
        </is>
      </c>
      <c r="N122" s="16" t="inlineStr">
        <is>
          <t>Faculty (Enterprise AI), Trent AI (Multi-Agent-AI-Security, Seed 2026), Improbable; Kernportfolio ist Wise, Figma, TravelPerk, Zoopla, Cleo, Motorway</t>
        </is>
      </c>
      <c r="O122" s="16" t="inlineStr">
        <is>
          <t>Gering - kein Data-Infra-, MLOps- oder Labeling-Investment belegbar; Portfolio ist ueberwiegend Anwendungs- und Consumer-lastig</t>
        </is>
      </c>
      <c r="P122" s="16" t="inlineStr">
        <is>
          <t>-</t>
        </is>
      </c>
      <c r="Q122" s="16" t="inlineStr">
        <is>
          <t>n/a (kein dedizierter Data-Infra- oder AI-Partner auf der Website ausgewiesen)</t>
        </is>
      </c>
      <c r="R122" s="16" t="inlineStr">
        <is>
          <t>n/a</t>
        </is>
      </c>
      <c r="S122" s="16" t="inlineStr">
        <is>
          <t>n/a</t>
        </is>
      </c>
      <c r="T122" s="16" t="inlineStr">
        <is>
          <t>Kein oeffentliches Pitch-Formular; Buero 2 Brill Place, London NW1 1DX; Kontakt ueber phoenixcourt.vc</t>
        </is>
      </c>
      <c r="U122" s="16" t="inlineStr">
        <is>
          <t>Stage und Ticketgroesse passen, aber LocalGlobe ist ein Generalist ohne AI-/Data-Infra-These und ohne belegte MLOps- oder Trainingsdaten-Investments; zudem nur 3-4 Neuinvestments in 2025/2026.</t>
        </is>
      </c>
      <c r="V122" s="16" t="inlineStr">
        <is>
          <t>Keine AI-/Data-These, kein Data-Infra-Track-Record; deutlich reduzierte Investitionsaktivitaet; aktuelle Fondsgroesse nicht belegbar; stark UK-zentriert; kein oeffentlicher Zugangsweg</t>
        </is>
      </c>
      <c r="W122" s="16" t="inlineStr">
        <is>
          <t>Nur ueber warme Einfuehrung sinnvoll - Aufhaenger waere Faculty als Enterprise-AI-Referenz und PathWize als europaeische Alternative zu US-Labeling-Anbietern.</t>
        </is>
      </c>
      <c r="X122" s="18" t="n">
        <v>28</v>
      </c>
      <c r="Y122" s="18" t="n">
        <v>14</v>
      </c>
      <c r="Z122" s="18" t="n">
        <v>8</v>
      </c>
      <c r="AA122" s="18" t="n">
        <v>5</v>
      </c>
      <c r="AB122" s="18" t="n">
        <v>7</v>
      </c>
      <c r="AC122" s="15" t="inlineStr">
        <is>
          <t>Mittel</t>
        </is>
      </c>
      <c r="AD122" s="15" t="inlineStr">
        <is>
          <t>Bestandsliste</t>
        </is>
      </c>
      <c r="AE122" s="16" t="inlineStr">
        <is>
          <t>https://www.phoenixcourt.vc/localglobe</t>
        </is>
      </c>
      <c r="AF122" s="16" t="inlineStr">
        <is>
          <t>https://www.phoenixcourt.vc/localglobe, https://tracxn.com/d/venture-capital/phoenix-court/__8RqZHCwiOSPB9aKkWvoVqeHh3A1oD87JFt-Lrm5lPQs, https://hub.waveup.com/funds/phoenix-court-group-localglobe-latitude</t>
        </is>
      </c>
    </row>
    <row r="123">
      <c r="A123" s="22" t="n">
        <v>119</v>
      </c>
      <c r="B123" s="23" t="inlineStr">
        <is>
          <t>rethink ventures</t>
        </is>
      </c>
      <c r="C123" s="20" t="inlineStr">
        <is>
          <t>B</t>
        </is>
      </c>
      <c r="D123" s="20" t="n">
        <v>61</v>
      </c>
      <c r="E123" s="15" t="inlineStr">
        <is>
          <t>München</t>
        </is>
      </c>
      <c r="F123" s="15" t="inlineStr">
        <is>
          <t>Deutschland</t>
        </is>
      </c>
      <c r="G123" s="15" t="inlineStr">
        <is>
          <t>VC (Sektorspezialist)</t>
        </is>
      </c>
      <c r="H123" s="16" t="inlineStr">
        <is>
          <t>Seed, Series A</t>
        </is>
      </c>
      <c r="I123" s="15" t="inlineStr">
        <is>
          <t>Ja — als Spezialfonds regelmäßig Lead in Seed-Runden seines Sektors</t>
        </is>
      </c>
      <c r="J123" s="16" t="inlineStr">
        <is>
          <t>n/a (nicht publiziert)</t>
        </is>
      </c>
      <c r="K123" s="16" t="inlineStr">
        <is>
          <t>50 Mio. EUR (Fonds I, aufgelegt März 2023)</t>
        </is>
      </c>
      <c r="L123" s="15" t="inlineStr">
        <is>
          <t>Teilweise</t>
        </is>
      </c>
      <c r="M123" s="16" t="inlineStr">
        <is>
          <t>Europäische Mobilität, Automotive, Transport, Logistik und Supply Chain; 'Redefining the transportation sector'; Netzwerk aus industriellen Corporate-Partnern als Kundenzugang</t>
        </is>
      </c>
      <c r="N123" s="16" t="inlineStr">
        <is>
          <t>driveblocks (AI-Perception für autonome Nutzfahrzeuge — direkter Trainingsdaten-Bedarf), S2 data (Transportplanungs-AI), good2know (Automotive Data Intelligence), shipzero (Emissionsdaten), Enabl Tech (Lagerautomatisierung), Nautica (autonome Unterwasserrobotik)</t>
        </is>
      </c>
      <c r="O123" s="16" t="inlineStr">
        <is>
          <t>Hoch im Anwendungsfall — autonome Fahrzeuge und Robotik sind der klassische Kernmarkt für Sensor- und Bild-Annotation; driveblocks und Nautica sind konkrete potenzielle Kunden, allerdings investiert der Fonds in Mobility-Anwendungen, nicht in horizontale Data-Infrastruktur</t>
        </is>
      </c>
      <c r="P123" s="16" t="inlineStr">
        <is>
          <t>Data-Infra-nah</t>
        </is>
      </c>
      <c r="Q123" s="16" t="inlineStr">
        <is>
          <t>Jens-Philipp Klein</t>
        </is>
      </c>
      <c r="R123" s="16" t="inlineStr">
        <is>
          <t>Co-Founder &amp; Partner (gemeinsam mit Matthias Schanze Gründer des 50-Mio.-EUR-Fonds)</t>
        </is>
      </c>
      <c r="S123" s="16" t="inlineStr">
        <is>
          <t>n/a</t>
        </is>
      </c>
      <c r="T123" s="16" t="inlineStr">
        <is>
          <t>'Get in touch' auf rethinkventures.com</t>
        </is>
      </c>
      <c r="U123" s="16" t="inlineStr">
        <is>
          <t>Der Sektorfokus Mobility/Autonomie ist zwar kein AI-Infrastruktur-Mandat, aber genau der Markt, in dem annotierte Sensordaten geschäftskritisch sind — driveblocks und Nautica belegen das im eigenen Portfolio. Stage und DACH-Zugang passen.</t>
        </is>
      </c>
      <c r="V123" s="16" t="inlineStr">
        <is>
          <t>Enges vertikales Mandat auf Mobility/Logistik — horizontales Data Labeling passt formal nicht ins Investmentprofil; mit 50 Mio. EUR ein kleiner Fonds mit begrenzter Follow-on-Kapazität; Fonds I aus 2023, Investitionsphase vermutlich fortgeschritten</t>
        </is>
      </c>
      <c r="W123" s="16" t="inlineStr">
        <is>
          <t>Mit dem driveblocks-Argument einsteigen: PathWize liefert die annotierten Sensor- und Perception-Datensätze, an denen europäische Autonomie-Startups im Portfolio typischerweise am längsten hängen.</t>
        </is>
      </c>
      <c r="X123" s="18" t="n">
        <v>26</v>
      </c>
      <c r="Y123" s="18" t="n">
        <v>10</v>
      </c>
      <c r="Z123" s="18" t="n">
        <v>8</v>
      </c>
      <c r="AA123" s="18" t="n">
        <v>7</v>
      </c>
      <c r="AB123" s="18" t="n">
        <v>10</v>
      </c>
      <c r="AC123" s="15" t="inlineStr">
        <is>
          <t>Mittel</t>
        </is>
      </c>
      <c r="AD123" s="15" t="inlineStr">
        <is>
          <t>Bestandsliste</t>
        </is>
      </c>
      <c r="AE123" s="16" t="inlineStr">
        <is>
          <t>https://rethinkventures.com/</t>
        </is>
      </c>
      <c r="AF123" s="16" t="inlineStr">
        <is>
          <t>https://rethinkventures.com/, https://rethinkventures.com/fund-launch/, https://techcrunch.com/2023/03/14/rethink-logistics-fund/, https://www.eu-startups.com/2023/03/rethink-ventures-launches-e50-million-fund-to-shape-the-future-of-sustainable-mobility/</t>
        </is>
      </c>
    </row>
    <row r="124">
      <c r="A124" s="24" t="n">
        <v>120</v>
      </c>
      <c r="B124" s="25" t="inlineStr">
        <is>
          <t>aws Gründerfonds</t>
        </is>
      </c>
      <c r="C124" s="26" t="inlineStr">
        <is>
          <t>C</t>
        </is>
      </c>
      <c r="D124" s="26" t="n">
        <v>59</v>
      </c>
      <c r="E124" s="18" t="inlineStr">
        <is>
          <t>Wien</t>
        </is>
      </c>
      <c r="F124" s="15" t="inlineStr">
        <is>
          <t>Oesterreich</t>
        </is>
      </c>
      <c r="G124" s="15" t="inlineStr">
        <is>
          <t>Staatsnaher VC (Austria Wirtschaftsservice / aws Gruendungsfonds)</t>
        </is>
      </c>
      <c r="H124" s="16" t="inlineStr">
        <is>
          <t>Seed und Series A (Frueh- bis Wachstumsphase)</t>
        </is>
      </c>
      <c r="I124" s="15" t="inlineStr">
        <is>
          <t>Teilweise (haeufig Co-Investor in oesterreichischen Runden)</t>
        </is>
      </c>
      <c r="J124" s="16" t="inlineStr">
        <is>
          <t>n/a (nicht auf der Website ausgewiesen)</t>
        </is>
      </c>
      <c r="K124" s="16" t="inlineStr">
        <is>
          <t>EUR 140 Mio. Fondsvolumen; 28 aktive Beteiligungen, 30 Exits</t>
        </is>
      </c>
      <c r="L124" s="15" t="inlineStr">
        <is>
          <t>Teilweise</t>
        </is>
      </c>
      <c r="M124" s="16" t="inlineStr">
        <is>
          <t>'Venture Capital fuer Unternehmen mit wachstumsstarker Technologie' - sektoroffen, technologiegetrieben, mit klarem Oesterreich-Mandat (aws als Foerderbank).</t>
        </is>
      </c>
      <c r="N124" s="16" t="inlineStr">
        <is>
          <t>Prewave (AI-basiertes Lieferketten-Risikomonitoring, NLP auf Milliarden Datenpunkten - Unicorn-Kandidat), PlanRadar, ToolSense (IoT/Asset-Daten), refinq (Klimarisiko-Analytics), Visplore-nahes Umfeld</t>
        </is>
      </c>
      <c r="O124" s="16" t="inlineStr">
        <is>
          <t>Mittel: Prewave belegt Verstaendnis fuer datengetriebene AI-Geschaeftsmodelle, aber keine Labeling-/MLOps-Investments.</t>
        </is>
      </c>
      <c r="P124" s="16" t="inlineStr">
        <is>
          <t>-</t>
        </is>
      </c>
      <c r="Q124" s="16" t="inlineStr">
        <is>
          <t>n/a (Team u.a. Patrik Cesky, Peter Muehlbauer, Markus Jandrinitsch; Rollen auf der Website nicht ausgewiesen)</t>
        </is>
      </c>
      <c r="R124" s="16" t="inlineStr">
        <is>
          <t>n/a</t>
        </is>
      </c>
      <c r="S124" s="16" t="inlineStr">
        <is>
          <t>n/a</t>
        </is>
      </c>
      <c r="T124" s="16" t="inlineStr">
        <is>
          <t>Pitch-Einreichung ueber https://www.gruendungsfonds.at ('Submit Pitch'), Kontaktseite /kontakt</t>
        </is>
      </c>
      <c r="U124" s="16" t="inlineStr">
        <is>
          <t>Aktiver, sektoroffener Seed-/Series-A-Fonds mit EUR 140 Mio. und einem starken AI-Datencase (Prewave) - scheitert fuer PathWize aber am oesterreichischen Standortmandat.</t>
        </is>
      </c>
      <c r="V124" s="16" t="inlineStr">
        <is>
          <t>KO-Kriterium Geografie: aws-Mandat verlangt in der Regel einen Unternehmenssitz bzw. substanzielle Wertschoepfung in Oesterreich; Ticketgroessen nicht transparent; Rollen im Team nicht ausgewiesen.</t>
        </is>
      </c>
      <c r="W124" s="16" t="inlineStr">
        <is>
          <t>Nur relevant, wenn PathWize eine oesterreichische Gesellschaft oder ein Delivery-/Annotation-Hub in Oesterreich aufbaut - dann als Co-Investor neben einem deutschen Lead ansprechen.</t>
        </is>
      </c>
      <c r="X124" s="18" t="n">
        <v>26</v>
      </c>
      <c r="Y124" s="18" t="n">
        <v>12</v>
      </c>
      <c r="Z124" s="18" t="n">
        <v>10</v>
      </c>
      <c r="AA124" s="18" t="n">
        <v>8</v>
      </c>
      <c r="AB124" s="18" t="n">
        <v>3</v>
      </c>
      <c r="AC124" s="15" t="inlineStr">
        <is>
          <t>Mittel</t>
        </is>
      </c>
      <c r="AD124" s="15" t="inlineStr">
        <is>
          <t>Bestandsliste</t>
        </is>
      </c>
      <c r="AE124" s="16" t="inlineStr">
        <is>
          <t>https://www.gruendungsfonds.at</t>
        </is>
      </c>
      <c r="AF124" s="16" t="inlineStr">
        <is>
          <t>https://www.gruendungsfonds.at/, https://www.gruenderfonds.at/en/ (Redirect)</t>
        </is>
      </c>
    </row>
    <row r="125">
      <c r="A125" s="24" t="n">
        <v>121</v>
      </c>
      <c r="B125" s="25" t="inlineStr">
        <is>
          <t>Hannover Digital Investments (HDInv)</t>
        </is>
      </c>
      <c r="C125" s="26" t="inlineStr">
        <is>
          <t>C</t>
        </is>
      </c>
      <c r="D125" s="26" t="n">
        <v>59</v>
      </c>
      <c r="E125" s="15" t="inlineStr">
        <is>
          <t>Hannover</t>
        </is>
      </c>
      <c r="F125" s="15" t="inlineStr">
        <is>
          <t>Deutschland</t>
        </is>
      </c>
      <c r="G125" s="15" t="inlineStr">
        <is>
          <t>Corporate VC (HDI Group / Talanx)</t>
        </is>
      </c>
      <c r="H125" s="16" t="inlineStr">
        <is>
          <t>Seed, Series A, Series B - Schwerpunkt Series A</t>
        </is>
      </c>
      <c r="I125" s="15" t="inlineStr">
        <is>
          <t>Selten Lead, ueberwiegend Co-Investor an der Seite von Lead-VCs</t>
        </is>
      </c>
      <c r="J125" s="16" t="inlineStr">
        <is>
          <t>n/a (Runden mit HDInv-Beteiligung im zweistelligen Mio.-Bereich)</t>
        </is>
      </c>
      <c r="K125" s="16" t="inlineStr">
        <is>
          <t>n/a (Bilanzinvestments der HDI/Talanx-Gruppe, kein eigener Fonds ausgewiesen)</t>
        </is>
      </c>
      <c r="L125" s="15" t="inlineStr">
        <is>
          <t>Teilweise</t>
        </is>
      </c>
      <c r="M125" s="16" t="inlineStr">
        <is>
          <t>Digitale Geschaeftsmodelle mit Bezug zur Versicherungswirtschaft: InsurTech, Data Analytics, Cybersecurity, B2B-SaaS, Enterprise Applications, FinTech, IoT, AI/ML.</t>
        </is>
      </c>
      <c r="N125" s="16" t="inlineStr">
        <is>
          <t>Genus AI, Enginsight (Cybersecurity), Alyne (GRC-Software, exited), Planck (AI-Datenanalyse fuer Underwriting, exited), LiveEO (Geodaten-Analytics), Clearcover, Vitesse.</t>
        </is>
      </c>
      <c r="O125" s="16" t="inlineStr">
        <is>
          <t>Mittel-gering: Planck und LiveEO zeigen Verstaendnis fuer datengetriebene ML-Pipelines, aber kein Investment in Labeling-/Annotation-Infrastruktur.</t>
        </is>
      </c>
      <c r="P125" s="16" t="inlineStr">
        <is>
          <t>-</t>
        </is>
      </c>
      <c r="Q125" s="16" t="inlineStr">
        <is>
          <t>n/a</t>
        </is>
      </c>
      <c r="R125" s="16" t="inlineStr">
        <is>
          <t>n/a</t>
        </is>
      </c>
      <c r="S125" s="16" t="inlineStr">
        <is>
          <t>n/a</t>
        </is>
      </c>
      <c r="T125" s="16" t="inlineStr">
        <is>
          <t>Kontaktformular auf hannover-digital-invest.com; LinkedIn-Unternehmensseite</t>
        </is>
      </c>
      <c r="U125" s="16" t="inlineStr">
        <is>
          <t>Deutscher Corporate-VC mit belegtem Interesse an Data Analytics und ML (Planck, LiveEO, Genus AI), aber der strategische Filter ist Versicherung/Talanx und die Aktivitaet mit rund zwei Deals pro Jahr sehr niedrig.</t>
        </is>
      </c>
      <c r="V125" s="16" t="inlineStr">
        <is>
          <t>Sehr geringe Deal-Frequenz (letzte publizierte Investments 2024); strategischer Corporate-Filter; Schwerpunkt Series A statt Pre-Seed; kein transparenter Fonds/Dry Powder.</t>
        </is>
      </c>
      <c r="W125" s="16" t="inlineStr">
        <is>
          <t>PathWize als Lieferant fuer annotierte Schadens-, Dokumenten- und Geodaten positionieren, die HDI/Talanx-Einheiten direkt fuer eigene ML-Modelle nutzen koennten.</t>
        </is>
      </c>
      <c r="X125" s="18" t="n">
        <v>22</v>
      </c>
      <c r="Y125" s="18" t="n">
        <v>12</v>
      </c>
      <c r="Z125" s="18" t="n">
        <v>10</v>
      </c>
      <c r="AA125" s="18" t="n">
        <v>5</v>
      </c>
      <c r="AB125" s="18" t="n">
        <v>10</v>
      </c>
      <c r="AC125" s="15" t="inlineStr">
        <is>
          <t>Mittel</t>
        </is>
      </c>
      <c r="AD125" s="15" t="inlineStr">
        <is>
          <t>Bestandsliste</t>
        </is>
      </c>
      <c r="AE125" s="16" t="inlineStr">
        <is>
          <t>https://www.hannover-digital-invest.com/de</t>
        </is>
      </c>
      <c r="AF125" s="16" t="inlineStr">
        <is>
          <t>https://www.hannover-digital-invest.com/de, https://tracxn.com/d/venture-capital/hannover-digital-investments/__soh75-uBmQf1PS0CUYmUEVcUDizRe4EL1cyMTcHwOKg, https://www.crunchbase.com/organization/hannover-digital-investments-gmbh, https://www.caplight.com/investor/hannover-digital-investments</t>
        </is>
      </c>
    </row>
    <row r="126">
      <c r="A126" s="24" t="n">
        <v>122</v>
      </c>
      <c r="B126" s="25" t="inlineStr">
        <is>
          <t>Planet A Ventures</t>
        </is>
      </c>
      <c r="C126" s="26" t="inlineStr">
        <is>
          <t>C</t>
        </is>
      </c>
      <c r="D126" s="26" t="n">
        <v>58</v>
      </c>
      <c r="E126" s="15" t="inlineStr">
        <is>
          <t>Hamburg / Berlin</t>
        </is>
      </c>
      <c r="F126" s="15" t="inlineStr">
        <is>
          <t>Deutschland</t>
        </is>
      </c>
      <c r="G126" s="15" t="inlineStr">
        <is>
          <t>VC (Impact / Climate)</t>
        </is>
      </c>
      <c r="H126" s="16" t="inlineStr">
        <is>
          <t>Pre-Seed bis Series A</t>
        </is>
      </c>
      <c r="I126" s="15" t="inlineStr">
        <is>
          <t>Ja — führt und co-führt Seed-Runden in ihren Impact-Sektoren</t>
        </is>
      </c>
      <c r="J126" s="16" t="inlineStr">
        <is>
          <t>500.000 - 4 Mio. EUR (teils bis 5 Mio. EUR) Erstinvestment</t>
        </is>
      </c>
      <c r="K126" s="16" t="inlineStr">
        <is>
          <t>ca. 160 Mio. EUR (Fund I, 2023 aufgelegt), 42 Portfoliounternehmen, 10 Investments allein 2025</t>
        </is>
      </c>
      <c r="L126" s="18" t="inlineStr">
        <is>
          <t>Nein</t>
        </is>
      </c>
      <c r="M126" s="16" t="inlineStr">
        <is>
          <t>Science-based Impact Investing: jedes Investment muss messbar auf Klimaschutz, Abfallvermeidung, Ressourceneffizienz oder Biodiversität einzahlen; 'deeply technical founders shifting systems, not shipping features'; paneuropäisch</t>
        </is>
      </c>
      <c r="N126" s="16" t="inlineStr">
        <is>
          <t>Kein dediziertes AI-/Data-Infra-Investment; Makersite (Produkt-/Lieferketten-Datenplattform) ist der nächste Nachbar; weitere: Hived, AUAR (Bau-Robotik), traceless, Project Eaden</t>
        </is>
      </c>
      <c r="O126" s="16" t="inlineStr">
        <is>
          <t>Gering — Planet A verlangt einen wissenschaftlich quantifizierbaren Umweltimpact pro Investment, den ein horizontaler Data-Labeling-Anbieter nicht liefern kann</t>
        </is>
      </c>
      <c r="P126" s="16" t="inlineStr">
        <is>
          <t>Data-Infra-nah</t>
        </is>
      </c>
      <c r="Q126" s="16" t="inlineStr">
        <is>
          <t>n/a (Gründungsteam um Nick de la Forge und Fridtjof Detzner; kein AI-/Data-spezifischer Partner belegbar)</t>
        </is>
      </c>
      <c r="R126" s="16" t="inlineStr">
        <is>
          <t>n/a</t>
        </is>
      </c>
      <c r="S126" s="16" t="inlineStr">
        <is>
          <t>n/a</t>
        </is>
      </c>
      <c r="T126" s="16" t="inlineStr">
        <is>
          <t>Kontakt über planet-a.com; kein verifiziertes öffentliches Pitch-Formular</t>
        </is>
      </c>
      <c r="U126" s="16" t="inlineStr">
        <is>
          <t>Stage, Ticketgröße und Aktivität passen sehr gut, aber Planet A prüft jedes Investment auf messbaren Umwelt-Impact per Life-Cycle-Assessment — Data Labeling erfüllt dieses Mandatskriterium nicht.</t>
        </is>
      </c>
      <c r="V126" s="16" t="inlineStr">
        <is>
          <t>Hartes Impact-Mandat mit wissenschaftlichem Assessment als Investment-Gate; kein einziges AI-Infrastruktur-Investment im Portfolio; AI wird nicht als Sektor genannt</t>
        </is>
      </c>
      <c r="W126" s="16" t="inlineStr">
        <is>
          <t>Nur mit belastbarem Impact-Narrativ versuchen: PathWize als Enabler energieeffizienterer Modelle durch bessere statt mehr Trainingsdaten plus Klima-/Umwelt-Datensätze als Anwendungsfall — realistisch aber niedrige Priorität.</t>
        </is>
      </c>
      <c r="X126" s="18" t="n">
        <v>28</v>
      </c>
      <c r="Y126" s="18" t="n">
        <v>6</v>
      </c>
      <c r="Z126" s="18" t="n">
        <v>5</v>
      </c>
      <c r="AA126" s="18" t="n">
        <v>9</v>
      </c>
      <c r="AB126" s="18" t="n">
        <v>10</v>
      </c>
      <c r="AC126" s="15" t="inlineStr">
        <is>
          <t>Mittel</t>
        </is>
      </c>
      <c r="AD126" s="15" t="inlineStr">
        <is>
          <t>Bestandsliste</t>
        </is>
      </c>
      <c r="AE126" s="16" t="inlineStr">
        <is>
          <t>https://planet-a.com/</t>
        </is>
      </c>
      <c r="AF126" s="16" t="inlineStr">
        <is>
          <t>https://planet-a.com/, https://techcrunch.com/2023/02/08/planet-a-ventures-comes-out-of-the-door-with-a-e160m-european-science-backed-climate-fund, https://www.vcsheet.com/fund/planet-a-ventures</t>
        </is>
      </c>
    </row>
    <row r="127">
      <c r="A127" s="24" t="n">
        <v>123</v>
      </c>
      <c r="B127" s="25" t="inlineStr">
        <is>
          <t>Revent</t>
        </is>
      </c>
      <c r="C127" s="26" t="inlineStr">
        <is>
          <t>C</t>
        </is>
      </c>
      <c r="D127" s="26" t="n">
        <v>58</v>
      </c>
      <c r="E127" s="15" t="inlineStr">
        <is>
          <t>Berlin</t>
        </is>
      </c>
      <c r="F127" s="15" t="inlineStr">
        <is>
          <t>Deutschland</t>
        </is>
      </c>
      <c r="G127" s="15" t="inlineStr">
        <is>
          <t>VC (Impact)</t>
        </is>
      </c>
      <c r="H127" s="16" t="inlineStr">
        <is>
          <t>Pre-Seed und Seed</t>
        </is>
      </c>
      <c r="I127" s="15" t="inlineStr">
        <is>
          <t>Ja — Tickets bis 3 Mio. EUR erlauben Lead-Position im Seed</t>
        </is>
      </c>
      <c r="J127" s="16" t="inlineStr">
        <is>
          <t>500.000 - 3 Mio. EUR</t>
        </is>
      </c>
      <c r="K127" s="16" t="inlineStr">
        <is>
          <t>n/a (nicht publiziert); 25+ Portfoliounternehmen</t>
        </is>
      </c>
      <c r="L127" s="15" t="inlineStr">
        <is>
          <t>Teilweise</t>
        </is>
      </c>
      <c r="M127" s="16" t="inlineStr">
        <is>
          <t>Impact in drei Feldern: Climate, Health und Empowerment; skalierbare, defensible Technologie für 'step change improvements'; Investmentschwelle: 100 Mio. USD ARR-Potenzial und 'impact fund returner' innerhalb einer Dekade; Europa</t>
        </is>
      </c>
      <c r="N127" s="16" t="inlineStr">
        <is>
          <t>Kein AI-Infrastruktur-Investment; datenintensive Anwendungen: Forward Earth (embedded AI für Lieferketten-Dekarbonisierung), Electricity Maps (granulare Echtzeit-Strom-Daten-APIs), apiday (AI-gestütztes ESG-Reporting), Sylvera (Carbon-Projekt-Analytik), Avelios (Healthcare-Workflows)</t>
        </is>
      </c>
      <c r="O127" s="16" t="inlineStr">
        <is>
          <t>Gering bis mittel — AI taucht durchgehend als Anwendungsschicht auf, nie als Investmentthese; Datenplattformen wie Electricity Maps zeigen aber Verständnis für Datenprodukt-Geschäftsmodelle</t>
        </is>
      </c>
      <c r="P127" s="16" t="inlineStr">
        <is>
          <t>-</t>
        </is>
      </c>
      <c r="Q127" s="16" t="inlineStr">
        <is>
          <t>Otto Birnbaum</t>
        </is>
      </c>
      <c r="R127" s="16" t="inlineStr">
        <is>
          <t>General Partner (gemeinsam mit Dr. Lauren Lentz); weiterer Partner: Henrik Grosse Hokamp; Venture Partner: Emily Brooke MBE</t>
        </is>
      </c>
      <c r="S127" s="16" t="inlineStr">
        <is>
          <t>n/a</t>
        </is>
      </c>
      <c r="T127" s="16" t="inlineStr">
        <is>
          <t>Kontakt über revent.vc; kein verifiziertes öffentliches Pitch-Formular</t>
        </is>
      </c>
      <c r="U127" s="16" t="inlineStr">
        <is>
          <t>Pre-Seed/Seed mit 500k-3M EUR und Europa-Fokus passt formal ideal, aber Revents Mandat verlangt einen Impact-Case in Climate, Health oder Empowerment, den ein horizontaler Data-Labeling-Anbieter nur konstruiert erfüllt.</t>
        </is>
      </c>
      <c r="V127" s="16" t="inlineStr">
        <is>
          <t>Hartes Impact-Mandat als Investment-Gate; kein AI-/Data-Infra-Investment im Portfolio; Fondsvolumen nicht publiziert; hohe Renditeschwelle (100 Mio. USD ARR-Potenzial) für ein Service-nahes Geschäftsmodell schwer zu argumentieren</t>
        </is>
      </c>
      <c r="W127" s="16" t="inlineStr">
        <is>
          <t>Nur über den Empowerment-Winkel: PathWize schafft qualifizierte, fair bezahlte Human-in-the-loop-Arbeit und macht AI-Trainingsdaten weniger verzerrt — das ist die einzige Brücke zu Revents Mandat.</t>
        </is>
      </c>
      <c r="X127" s="18" t="n">
        <v>28</v>
      </c>
      <c r="Y127" s="18" t="n">
        <v>7</v>
      </c>
      <c r="Z127" s="18" t="n">
        <v>5</v>
      </c>
      <c r="AA127" s="18" t="n">
        <v>8</v>
      </c>
      <c r="AB127" s="18" t="n">
        <v>10</v>
      </c>
      <c r="AC127" s="15" t="inlineStr">
        <is>
          <t>Mittel</t>
        </is>
      </c>
      <c r="AD127" s="15" t="inlineStr">
        <is>
          <t>Bestandsliste</t>
        </is>
      </c>
      <c r="AE127" s="16" t="inlineStr">
        <is>
          <t>https://www.revent.vc/</t>
        </is>
      </c>
      <c r="AF127" s="16" t="inlineStr">
        <is>
          <t>https://www.revent.vc/</t>
        </is>
      </c>
    </row>
    <row r="128">
      <c r="A128" s="24" t="n">
        <v>124</v>
      </c>
      <c r="B128" s="25" t="inlineStr">
        <is>
          <t>Salvia GmbH</t>
        </is>
      </c>
      <c r="C128" s="26" t="inlineStr">
        <is>
          <t>C</t>
        </is>
      </c>
      <c r="D128" s="26" t="n">
        <v>58</v>
      </c>
      <c r="E128" s="15" t="inlineStr">
        <is>
          <t>Holzkirchen (bei München)</t>
        </is>
      </c>
      <c r="F128" s="18" t="inlineStr">
        <is>
          <t>DE</t>
        </is>
      </c>
      <c r="G128" s="15" t="inlineStr">
        <is>
          <t>Family Office</t>
        </is>
      </c>
      <c r="H128" s="16" t="inlineStr">
        <is>
          <t>Early Stage bis Growth (urspruenglich Angel-Investments, heute unternehmerischer VC)</t>
        </is>
      </c>
      <c r="I128" s="15" t="inlineStr">
        <is>
          <t>Teilweise (haeufig Co-Investor / Ankerinvestor, kein klassischer Lead-Fonds)</t>
        </is>
      </c>
      <c r="J128" s="16" t="inlineStr">
        <is>
          <t>n/a</t>
        </is>
      </c>
      <c r="K128" s="16" t="inlineStr">
        <is>
          <t>n/a (Single Family Office, Evergreen-Kapital von Helmut Jeggle)</t>
        </is>
      </c>
      <c r="L128" s="15" t="inlineStr">
        <is>
          <t>Teilweise</t>
        </is>
      </c>
      <c r="M128" s="16" t="inlineStr">
        <is>
          <t>Deep Tech und Science: Energieeffizienz, Batterie-/Materialtechnologie, Quantum Computing, Biotech, Drohnen; Leitmotiv Klimawandel und Ressourcenknappheit</t>
        </is>
      </c>
      <c r="N128" s="16" t="inlineStr">
        <is>
          <t>ONE DATA (Applied AI / Data-Software, Passau), IQM (Quantum Computing), Wingcopter, GROUP14 Technologies, Bambusa Therapeutics; Exits: BioNTech, Aldevron, Boxine</t>
        </is>
      </c>
      <c r="O128" s="16" t="inlineStr">
        <is>
          <t>Indirekt: ONE DATA zeigt Verstaendnis fuer industrielle Datenplattformen, aber keine belegten Investments in Annotation/Labeling oder MLOps-Tooling</t>
        </is>
      </c>
      <c r="P128" s="16" t="inlineStr">
        <is>
          <t>-</t>
        </is>
      </c>
      <c r="Q128" s="16" t="inlineStr">
        <is>
          <t>Helmut Jeggle</t>
        </is>
      </c>
      <c r="R128" s="16" t="inlineStr">
        <is>
          <t>Gruender &amp; Managing Partner</t>
        </is>
      </c>
      <c r="S128" s="16" t="inlineStr">
        <is>
          <t>n/a</t>
        </is>
      </c>
      <c r="T128" s="16" t="inlineStr">
        <is>
          <t>Bergfeldstrasse 9, 83607 Holzkirchen; Kontaktformular ueber https://salvia.de/en/ (keine oeffentliche Investment-E-Mail)</t>
        </is>
      </c>
      <c r="U128" s="16" t="inlineStr">
        <is>
          <t>Deep-Tech-Family-Office aus dem Muenchner Raum mit ONE DATA als einzigem klaren Data-/AI-Software-Investment; der Schwerpunkt liegt jedoch auf Hardware-, Energie- und Life-Science-Deep-Tech, nicht auf Data-Infrastruktur oder Dev-Tools.</t>
        </is>
      </c>
      <c r="V128" s="16" t="inlineStr">
        <is>
          <t>Keine oeffentliche Ticketgroesse oder Fondsgroesse; kein expliziter Software-/AI-Infra-Fokus; als Family Office kein definierter Investmentprozess fuer Cold Inbound; Zugang laeuft ueber Netzwerk</t>
        </is>
      </c>
      <c r="W128" s="16" t="inlineStr">
        <is>
          <t>Ueber die ONE-DATA-Bruecke ansprechen: PathWize liefert die kuratierten Trainingsdaten, ohne die industrielle KI-Plattformen wie ONE DATA in der Produktion nicht zuverlaessig werden.</t>
        </is>
      </c>
      <c r="X128" s="18" t="n">
        <v>18</v>
      </c>
      <c r="Y128" s="18" t="n">
        <v>14</v>
      </c>
      <c r="Z128" s="18" t="n">
        <v>10</v>
      </c>
      <c r="AA128" s="18" t="n">
        <v>6</v>
      </c>
      <c r="AB128" s="18" t="n">
        <v>10</v>
      </c>
      <c r="AC128" s="15" t="inlineStr">
        <is>
          <t>Mittel</t>
        </is>
      </c>
      <c r="AD128" s="15" t="inlineStr">
        <is>
          <t>Bestandsliste</t>
        </is>
      </c>
      <c r="AE128" s="16" t="inlineStr">
        <is>
          <t>https://salvia.de/</t>
        </is>
      </c>
      <c r="AF128" s="16" t="inlineStr">
        <is>
          <t>https://salvia.de/en/, https://www.crunchbase.com/organization/salvia-gmbh, https://pitchbook.com/profiles/investor/482076-55, https://www.swfinstitute.org/profile/6207ee3bd3578f2dfcbac3eb</t>
        </is>
      </c>
    </row>
    <row r="129">
      <c r="A129" s="24" t="n">
        <v>125</v>
      </c>
      <c r="B129" s="25" t="inlineStr">
        <is>
          <t>YZR Capital GmbH</t>
        </is>
      </c>
      <c r="C129" s="26" t="inlineStr">
        <is>
          <t>C</t>
        </is>
      </c>
      <c r="D129" s="26" t="n">
        <v>58</v>
      </c>
      <c r="E129" s="15" t="inlineStr">
        <is>
          <t>München</t>
        </is>
      </c>
      <c r="F129" s="15" t="inlineStr">
        <is>
          <t>Deutschland</t>
        </is>
      </c>
      <c r="G129" s="15" t="inlineStr">
        <is>
          <t>VC (Founder-led Sektorspezialist Healthcare)</t>
        </is>
      </c>
      <c r="H129" s="16" t="inlineStr">
        <is>
          <t>Seed bis Series B</t>
        </is>
      </c>
      <c r="I129" s="15" t="inlineStr">
        <is>
          <t>Ja – investiert überwiegend als Lead-Investor</t>
        </is>
      </c>
      <c r="J129" s="16" t="inlineStr">
        <is>
          <t>n/a (stage-typische Volumina Seed bis Series B)</t>
        </is>
      </c>
      <c r="K129" s="16" t="inlineStr">
        <is>
          <t>über 100 Mio. EUR AUM; &gt;20 Portfolio-Companies in &gt;10 Ländern; u.a. vom Wachstumsfonds Deutschland unterstützt</t>
        </is>
      </c>
      <c r="L129" s="15" t="inlineStr">
        <is>
          <t>Teilweise</t>
        </is>
      </c>
      <c r="M129" s="16" t="inlineStr">
        <is>
          <t>Pan-europäisches Healthcare/HealthTech: Effizienz und Transparenz von Gesundheitssystemen, digitale Versorgungsmodelle, AI-basierte Medizin, 3D-Datenvisualisierung im OP, Buchungsplattformen</t>
        </is>
      </c>
      <c r="N129" s="16" t="inlineStr">
        <is>
          <t>AI-basierte Medizin-Startups und 3D-Datenvisualisierung im Operationssaal (Namen nicht einzeln belegt) – AI wird angewendet, aber nicht als Infrastrukturschicht investiert</t>
        </is>
      </c>
      <c r="O129" s="16" t="inlineStr">
        <is>
          <t>Mittel-gering – klinische AI-Modelle brauchen annotierte Daten, aber das Mandat ist strikt Healthcare-vertikal</t>
        </is>
      </c>
      <c r="P129" s="16" t="inlineStr">
        <is>
          <t>-</t>
        </is>
      </c>
      <c r="Q129" s="16" t="inlineStr">
        <is>
          <t>n/a</t>
        </is>
      </c>
      <c r="R129" s="16" t="inlineStr">
        <is>
          <t>n/a</t>
        </is>
      </c>
      <c r="S129" s="16" t="inlineStr">
        <is>
          <t>n/a</t>
        </is>
      </c>
      <c r="T129" s="16" t="inlineStr">
        <is>
          <t>n/a (Kontakt über yzr-capital.com)</t>
        </is>
      </c>
      <c r="U129" s="16" t="inlineStr">
        <is>
          <t>Aktiver Münchner Lead-Investor von Seed bis Series B mit &gt;100 Mio. EUR AUM und AI-Anwendungen im Portfolio – jedoch strikt auf Healthcare fokussiert, wodurch eine horizontale Data-Labeling-Plattform nicht ins Mandat passt.</t>
        </is>
      </c>
      <c r="V129" s="16" t="inlineStr">
        <is>
          <t>Ausschließliches Healthcare-Mandat; AI nur als Anwendung, nicht als Infrastruktur-These; Ticketgrößen nicht transparent</t>
        </is>
      </c>
      <c r="W129" s="16" t="inlineStr">
        <is>
          <t>Nur mit HealthTech-Vertical: PathWize als DSGVO-/MDR-konformer Annotationspartner für medizinische Bild- und Behandlungsdaten der YZR-Portfolio-Companies.</t>
        </is>
      </c>
      <c r="X129" s="18" t="n">
        <v>25</v>
      </c>
      <c r="Y129" s="18" t="n">
        <v>8</v>
      </c>
      <c r="Z129" s="18" t="n">
        <v>7</v>
      </c>
      <c r="AA129" s="18" t="n">
        <v>8</v>
      </c>
      <c r="AB129" s="18" t="n">
        <v>10</v>
      </c>
      <c r="AC129" s="15" t="inlineStr">
        <is>
          <t>Mittel</t>
        </is>
      </c>
      <c r="AD129" s="15" t="inlineStr">
        <is>
          <t>Bestandsliste</t>
        </is>
      </c>
      <c r="AE129" s="16" t="inlineStr">
        <is>
          <t>https://yzr-capital.com/</t>
        </is>
      </c>
      <c r="AF129" s="16" t="inlineStr">
        <is>
          <t>https://yzr-capital.com/, https://www.munich-startup.de/en/97519/growth-fund-germany-invests-in-yzr-capital/, https://www.vestbee.com/vc-list/yzr-capital</t>
        </is>
      </c>
    </row>
    <row r="130">
      <c r="A130" s="24" t="n">
        <v>126</v>
      </c>
      <c r="B130" s="25" t="inlineStr">
        <is>
          <t>Bertelsmann Investments</t>
        </is>
      </c>
      <c r="C130" s="26" t="inlineStr">
        <is>
          <t>C</t>
        </is>
      </c>
      <c r="D130" s="26" t="n">
        <v>57</v>
      </c>
      <c r="E130" s="15" t="inlineStr">
        <is>
          <t>Guetersloh / Berlin (weitere Standorte New York, Sao Paulo, Peking)</t>
        </is>
      </c>
      <c r="F130" s="18" t="inlineStr">
        <is>
          <t>DE</t>
        </is>
      </c>
      <c r="G130" s="15" t="inlineStr">
        <is>
          <t>Corporate VC (Dachorganisation mehrerer Fonds)</t>
        </is>
      </c>
      <c r="H130" s="16" t="inlineStr">
        <is>
          <t>Seed bis Growth, je nach Untereinheit (BDMI: Seed/Early Stage; BAI: Growth)</t>
        </is>
      </c>
      <c r="I130" s="15" t="inlineStr">
        <is>
          <t>Teilweise - je nach Fonds und Runde, oft Co-Investor</t>
        </is>
      </c>
      <c r="J130" s="16" t="inlineStr">
        <is>
          <t>n/a</t>
        </is>
      </c>
      <c r="K130" s="16" t="inlineStr">
        <is>
          <t>BDMI ueber 450 Mio. USD; neuer BAI-Fonds mit 800 Mio. USD (2026); 2022-2025 insgesamt 432 Mio. EUR in 115 Einzelinvestments</t>
        </is>
      </c>
      <c r="L130" s="15" t="inlineStr">
        <is>
          <t>Teilweise</t>
        </is>
      </c>
      <c r="M130" s="16" t="inlineStr">
        <is>
          <t>Next-Gen Media, Enterprise Software/SaaS, Fintech, Web3, Health/Wellness, Fashion, Sport; Regionen Nordamerika, Europa, Israel, Brasilien und China</t>
        </is>
      </c>
      <c r="N130" s="16" t="inlineStr">
        <is>
          <t>Enterprise-Software und SaaS sind erklaerte Investitionsfelder, konkrete Data-Infrastruktur- oder Labeling-Investments sind jedoch nicht belegbar; Schwerpunkt liegt auf Medien- und Content-Technologie</t>
        </is>
      </c>
      <c r="O130" s="16" t="inlineStr">
        <is>
          <t>Mittel-gering: Enterprise-Software-Mandat vorhanden, aber kein ML-Infrastruktur-Track-Record</t>
        </is>
      </c>
      <c r="P130" s="16" t="inlineStr">
        <is>
          <t>Data-Infra-nah</t>
        </is>
      </c>
      <c r="Q130" s="16" t="inlineStr">
        <is>
          <t>Urs Cete / Sim Blaustein (BDMI, seit 2026 ueber die neu gegruendete 1745 Ventures gemanagt)</t>
        </is>
      </c>
      <c r="R130" s="16" t="inlineStr">
        <is>
          <t>Managing Partner, 1745 Ventures (vormals BDMI)</t>
        </is>
      </c>
      <c r="S130" s="16" t="inlineStr">
        <is>
          <t>n/a</t>
        </is>
      </c>
      <c r="T130" s="16" t="inlineStr">
        <is>
          <t>https://bdmifund.com/ bzw. https://www.bertelsmann-investments.com/ ; Pitch-E-Mail n/a</t>
        </is>
      </c>
      <c r="U130" s="16" t="inlineStr">
        <is>
          <t>Kapitalstarker Corporate-VC mit Enterprise-Software-Mandat, aber medienlastiger These und ueberwiegend Later-Stage-Schwerpunkt in der grossen BAI-Einheit. Fuer eine deutsche Pre-Seed-/Seed-Runde nur eingeschraenkt der richtige Adressat.</t>
        </is>
      </c>
      <c r="V130" s="16" t="inlineStr">
        <is>
          <t>BDMI wurde 2026 ausgegliedert und wird nun von 1745 Ventures gemanagt - Zustaendigkeiten und Mandat im Umbruch; Corporate-Strukturen mit strategischen Nebenbedingungen; Fruehphasen-Tickets nicht klar definiert</t>
        </is>
      </c>
      <c r="W130" s="16" t="inlineStr">
        <is>
          <t>Ueber die 1745-Ventures-/BDMI-Schiene mit einer Enterprise-AI-Story ansprechen: Trainingsdaten fuer Medien-, Content- und Publishing-KI als konkreter Bertelsmann-naher Anwendungsfall.</t>
        </is>
      </c>
      <c r="X130" s="18" t="n">
        <v>18</v>
      </c>
      <c r="Y130" s="18" t="n">
        <v>15</v>
      </c>
      <c r="Z130" s="18" t="n">
        <v>8</v>
      </c>
      <c r="AA130" s="18" t="n">
        <v>8</v>
      </c>
      <c r="AB130" s="18" t="n">
        <v>8</v>
      </c>
      <c r="AC130" s="15" t="inlineStr">
        <is>
          <t>Mittel</t>
        </is>
      </c>
      <c r="AD130" s="15" t="inlineStr">
        <is>
          <t>Bestandsliste</t>
        </is>
      </c>
      <c r="AE130" s="16" t="inlineStr">
        <is>
          <t>https://www.bertelsmann-investments.com/</t>
        </is>
      </c>
      <c r="AF130" s="16" t="inlineStr">
        <is>
          <t>https://www.bertelsmann-investments.com/, https://bdmifund.com/about, https://www.bertelsmann.com/en/media/news/bertelsmann-investments-opens-bdmi-fund-to-broader-investor-base.html, https://www.bertelsmann.com/en/media/news/global-investment-and-growth-platform-delivers-strong-operating-performance.html</t>
        </is>
      </c>
    </row>
    <row r="131">
      <c r="A131" s="24" t="n">
        <v>127</v>
      </c>
      <c r="B131" s="25" t="inlineStr">
        <is>
          <t>Vorwerk Ventures</t>
        </is>
      </c>
      <c r="C131" s="26" t="inlineStr">
        <is>
          <t>C</t>
        </is>
      </c>
      <c r="D131" s="26" t="n">
        <v>57</v>
      </c>
      <c r="E131" s="15" t="inlineStr">
        <is>
          <t>Berlin</t>
        </is>
      </c>
      <c r="F131" s="15" t="inlineStr">
        <is>
          <t>Deutschland</t>
        </is>
      </c>
      <c r="G131" s="15" t="inlineStr">
        <is>
          <t>VC (ursprünglich Corporate VC der Vorwerk-Gruppe, heute unabhängig)</t>
        </is>
      </c>
      <c r="H131" s="16" t="inlineStr">
        <is>
          <t>(Pre-)Seed und Series A</t>
        </is>
      </c>
      <c r="I131" s="15" t="inlineStr">
        <is>
          <t>Ja – führt Seed- und Series-A-Runden regelmäßig an</t>
        </is>
      </c>
      <c r="J131" s="16" t="inlineStr">
        <is>
          <t>1 – 5 Mio. EUR Initial-Ticket, bis zu 15 Mio. EUR Follow-on-Reserve</t>
        </is>
      </c>
      <c r="K131" s="16" t="inlineStr">
        <is>
          <t>Fund IV: 150 Mio. EUR; ca. 400 Mio. EUR AUM; 97 Investments</t>
        </is>
      </c>
      <c r="L131" s="18" t="inlineStr">
        <is>
          <t>Nein</t>
        </is>
      </c>
      <c r="M131" s="16" t="inlineStr">
        <is>
          <t>Technologiegetriebene Unternehmen mit Consumer-Bezug: Consumer Products, Food &amp; AgTech, Healthcare, Climate/Energy; Fokus auf starke Geschäftsmodelle und gesellschaftlichen Nutzen</t>
        </is>
      </c>
      <c r="N131" s="16" t="inlineStr">
        <is>
          <t>Sqior Medical (Klinik-Workflow-Software, Seed 2025, 4 Mio. EUR), DEScycle, Spot my Energy; Exits HelloFresh, Flaschenpost – kein belegtes AI-/Data-Infrastruktur-Investment</t>
        </is>
      </c>
      <c r="O131" s="16" t="inlineStr">
        <is>
          <t>Gering – klare Consumer-/Health-/Climate-Ausrichtung ohne Dev-Tools- oder Data-Infra-Strategie</t>
        </is>
      </c>
      <c r="P131" s="16" t="inlineStr">
        <is>
          <t>Data-Infra-nah</t>
        </is>
      </c>
      <c r="Q131" s="16" t="inlineStr">
        <is>
          <t>n/a</t>
        </is>
      </c>
      <c r="R131" s="16" t="inlineStr">
        <is>
          <t>n/a</t>
        </is>
      </c>
      <c r="S131" s="16" t="inlineStr">
        <is>
          <t>n/a</t>
        </is>
      </c>
      <c r="T131" s="16" t="inlineStr">
        <is>
          <t>n/a (Kontakt über vorwerkventures.com)</t>
        </is>
      </c>
      <c r="U131" s="16" t="inlineStr">
        <is>
          <t>Exzellenter Stage- und Ticket-Fit (Seed/Series A, 1–5 Mio. EUR, Lead, 150-Mio.-EUR-Fonds IV) sowie Berlin-Basis, aber die These ist consumer-, food- und healthgetrieben – B2B-Dateninfrastruktur liegt außerhalb des Fokus.</t>
        </is>
      </c>
      <c r="V131" s="16" t="inlineStr">
        <is>
          <t>Keine B2B-Software-/Infrastruktur-These; kein AI-Track-Record; Consumer-DNA aus der Vorwerk-Historie</t>
        </is>
      </c>
      <c r="W131" s="16" t="inlineStr">
        <is>
          <t>Nur über einen Consumer- oder Health-Anwendungsfall anschlussfähig (z.B. Annotation von Produkt-, Rezept- oder klinischen Daten) – ansonsten schwacher thematischer Anker.</t>
        </is>
      </c>
      <c r="X131" s="18" t="n">
        <v>28</v>
      </c>
      <c r="Y131" s="18" t="n">
        <v>6</v>
      </c>
      <c r="Z131" s="18" t="n">
        <v>4</v>
      </c>
      <c r="AA131" s="18" t="n">
        <v>9</v>
      </c>
      <c r="AB131" s="18" t="n">
        <v>10</v>
      </c>
      <c r="AC131" s="15" t="inlineStr">
        <is>
          <t>Mittel</t>
        </is>
      </c>
      <c r="AD131" s="15" t="inlineStr">
        <is>
          <t>Bestandsliste</t>
        </is>
      </c>
      <c r="AE131" s="16" t="inlineStr">
        <is>
          <t>https://www.vorwerk-ventures.com/</t>
        </is>
      </c>
      <c r="AF131" s="16" t="inlineStr">
        <is>
          <t>https://vorwerkventures.com/, https://tracxn.com/d/venture-capital/vorwerk-ventures/__c9u_iuU1_exxW-7TmwM0_klnVagsfluxFhZlnoVejWg, https://www.startbase.com/organization/vorwerk-ventures/</t>
        </is>
      </c>
    </row>
    <row r="132">
      <c r="A132" s="24" t="n">
        <v>128</v>
      </c>
      <c r="B132" s="25" t="inlineStr">
        <is>
          <t>Wayra Deutschland</t>
        </is>
      </c>
      <c r="C132" s="26" t="inlineStr">
        <is>
          <t>C</t>
        </is>
      </c>
      <c r="D132" s="26" t="n">
        <v>57</v>
      </c>
      <c r="E132" s="15" t="inlineStr">
        <is>
          <t>München</t>
        </is>
      </c>
      <c r="F132" s="15" t="inlineStr">
        <is>
          <t>Deutschland</t>
        </is>
      </c>
      <c r="G132" s="15" t="inlineStr">
        <is>
          <t>Corporate VC / Venture-Client-Einheit (o2 Telefónica)</t>
        </is>
      </c>
      <c r="H132" s="16" t="inlineStr">
        <is>
          <t>Seed bis Growth; Bewertungen bis ca. 250 Mio. EUR pre-money</t>
        </is>
      </c>
      <c r="I132" s="15" t="inlineStr">
        <is>
          <t>Nein – investiert überwiegend als Co-Investor bzw. über Venture-Client-Deals, nicht als Lead klassischer Finanzierungsrunden</t>
        </is>
      </c>
      <c r="J132" s="16" t="inlineStr">
        <is>
          <t>150.000 – 5 Mio. EUR</t>
        </is>
      </c>
      <c r="K132" s="16" t="inlineStr">
        <is>
          <t>Global ca. 260 Mio. EUR investiert, &gt;530 Portfolio-Startups (Wayra-Netzwerk weltweit)</t>
        </is>
      </c>
      <c r="L132" s="15" t="inlineStr">
        <is>
          <t>Teilweise</t>
        </is>
      </c>
      <c r="M132" s="16" t="inlineStr">
        <is>
          <t>Strategische Synergie mit Telefónica/o2 (ca. 75% synergiegetrieben, 25% opportunistische Tech-Wetten): 5G/Konnektivität, Cloud, AI, Cybersecurity, IoT, B2B-Anwendungen für Telco, Healthcare und Manufacturing</t>
        </is>
      </c>
      <c r="N132" s="16" t="inlineStr">
        <is>
          <t>n/a im Detail belegbar; Wayra betreibt einen 5G-/AI-Innovation-Hub und adressiert AI/Cloud explizit als Investitionsfeld</t>
        </is>
      </c>
      <c r="O132" s="16" t="inlineStr">
        <is>
          <t>Mittel-gering – AI ist als Feld gesetzt, aber der Zugang läuft über Telefónica-Synergien und nicht über eine Data-Infrastruktur-These</t>
        </is>
      </c>
      <c r="P132" s="16" t="inlineStr">
        <is>
          <t>-</t>
        </is>
      </c>
      <c r="Q132" s="16" t="inlineStr">
        <is>
          <t>n/a</t>
        </is>
      </c>
      <c r="R132" s="16" t="inlineStr">
        <is>
          <t>n/a</t>
        </is>
      </c>
      <c r="S132" s="16" t="inlineStr">
        <is>
          <t>n/a</t>
        </is>
      </c>
      <c r="T132" s="16" t="inlineStr">
        <is>
          <t>Bewerbung über https://www.wayra.de/for-startups</t>
        </is>
      </c>
      <c r="U132" s="16" t="inlineStr">
        <is>
          <t>Deutscher Corporate-Investor mit explizitem AI-/Cloud-Interesse und passender Ticket-Spanne (150 TEUR–5 Mio. EUR), aber das Venture-Client-Modell verlangt zwingend einen konkreten Telefónica-Use-Case und liefert kein klassisches Runden-Leadership.</t>
        </is>
      </c>
      <c r="V132" s="16" t="inlineStr">
        <is>
          <t>75% der Investments synergiegetrieben – ohne o2-Business-Case kaum Chance; kein Lead-Investor; Venture-Client-Logik statt Equity-First</t>
        </is>
      </c>
      <c r="W132" s="16" t="inlineStr">
        <is>
          <t>Mit einem konkreten o2-Telefónica-Use-Case einsteigen: annotierte Trainingsdaten für Netzoptimierung, Kundenservice-Automatisierung und Fraud-Detection – Venture-Client-Pilot vor Investment.</t>
        </is>
      </c>
      <c r="X132" s="18" t="n">
        <v>18</v>
      </c>
      <c r="Y132" s="18" t="n">
        <v>14</v>
      </c>
      <c r="Z132" s="18" t="n">
        <v>8</v>
      </c>
      <c r="AA132" s="18" t="n">
        <v>7</v>
      </c>
      <c r="AB132" s="18" t="n">
        <v>10</v>
      </c>
      <c r="AC132" s="15" t="inlineStr">
        <is>
          <t>Mittel</t>
        </is>
      </c>
      <c r="AD132" s="15" t="inlineStr">
        <is>
          <t>Bestandsliste</t>
        </is>
      </c>
      <c r="AE132" s="16" t="inlineStr">
        <is>
          <t>https://www.wayra.de/</t>
        </is>
      </c>
      <c r="AF132" s="16" t="inlineStr">
        <is>
          <t>https://www.wayra.de/, https://www.wayra.de/for-startups, https://wayra.com/investment</t>
        </is>
      </c>
    </row>
    <row r="133">
      <c r="A133" s="24" t="n">
        <v>129</v>
      </c>
      <c r="B133" s="25" t="inlineStr">
        <is>
          <t>Aenu</t>
        </is>
      </c>
      <c r="C133" s="26" t="inlineStr">
        <is>
          <t>C</t>
        </is>
      </c>
      <c r="D133" s="26" t="n">
        <v>56</v>
      </c>
      <c r="E133" s="15" t="inlineStr">
        <is>
          <t>Berlin</t>
        </is>
      </c>
      <c r="F133" s="15" t="inlineStr">
        <is>
          <t>Deutschland</t>
        </is>
      </c>
      <c r="G133" s="15" t="inlineStr">
        <is>
          <t>VC (Impact-Fonds, B-Corp-zertifiziert)</t>
        </is>
      </c>
      <c r="H133" s="16" t="inlineStr">
        <is>
          <t>Seed (Sweet Spot), selektiv Pre-Seed und fruehe Series A</t>
        </is>
      </c>
      <c r="I133" s="18" t="inlineStr">
        <is>
          <t>Ja</t>
        </is>
      </c>
      <c r="J133" s="16" t="inlineStr">
        <is>
          <t>1 bis 5 Mio. EUR initial, Follow-on bis 10 Mio. EUR</t>
        </is>
      </c>
      <c r="K133" s="16" t="inlineStr">
        <is>
          <t>n/a (Fondsgroesse nicht oeffentlich ausgewiesen)</t>
        </is>
      </c>
      <c r="L133" s="15" t="inlineStr">
        <is>
          <t>Teilweise</t>
        </is>
      </c>
      <c r="M133" s="16" t="inlineStr">
        <is>
          <t>Climate Tech: disruptive Hardware, Software und AI-native Loesungen fuer Energie, industrielle Dekarbonisierung und systemische Resilienz; Geografie Europa mit DACH, Frankreich, UK, Nordics</t>
        </is>
      </c>
      <c r="N133" s="16" t="inlineStr">
        <is>
          <t>Monta, Entrix, Trawa, Metris Energy, Greenlyte, EPYR, Aris Machina, Ember, Hometree, Plume - AI-native wird als Ansatz genannt, aber ausschliesslich im Energie-/Dekarbonisierungskontext</t>
        </is>
      </c>
      <c r="O133" s="16" t="inlineStr">
        <is>
          <t>Niedrig - kein horizontales Data-/ML-Infrastruktur-Investment, AI nur als Mittel zum Klimazweck</t>
        </is>
      </c>
      <c r="P133" s="16" t="inlineStr">
        <is>
          <t>-</t>
        </is>
      </c>
      <c r="Q133" s="16" t="inlineStr">
        <is>
          <t>n/a (Gruenderteam mit Wurzeln bei Dailydeal, Forto, Earlybird und Speedinvest)</t>
        </is>
      </c>
      <c r="R133" s="16" t="inlineStr">
        <is>
          <t>n/a</t>
        </is>
      </c>
      <c r="S133" s="16" t="inlineStr">
        <is>
          <t>n/a</t>
        </is>
      </c>
      <c r="T133" s="16" t="inlineStr">
        <is>
          <t>Kontaktseite auf https://www.aenu.com/contact/</t>
        </is>
      </c>
      <c r="U133" s="16" t="inlineStr">
        <is>
          <t>Stage (Seed, 1-5 Mio. EUR) und Geografie (Berlin, DACH) passen sehr gut, aber das Mandat ist ein reiner Climate-/Impact-Fonds mit verpflichtender Dekarbonisierungswirkung. Eine horizontale Data-Labeling-Plattform erfuellt diese Impact-These nicht.</t>
        </is>
      </c>
      <c r="V133" s="16" t="inlineStr">
        <is>
          <t>Hartes Climate-Impact-Mandat mit B-Corp-Reporting; AI nur als Enabler fuer Energiethemen; Fondsgroesse nicht transparent</t>
        </is>
      </c>
      <c r="W133" s="16" t="inlineStr">
        <is>
          <t>Nur mit einem konkreten Climate-Use-Case sinnvoll - etwa annotierte Trainingsdaten fuer Energienetz-, Satelliten- oder Industrieanlagen-Modelle, gerne mit Referenz auf Portfolio-Companies wie Metris Energy oder Entrix.</t>
        </is>
      </c>
      <c r="X133" s="18" t="n">
        <v>26</v>
      </c>
      <c r="Y133" s="18" t="n">
        <v>8</v>
      </c>
      <c r="Z133" s="18" t="n">
        <v>4</v>
      </c>
      <c r="AA133" s="18" t="n">
        <v>8</v>
      </c>
      <c r="AB133" s="18" t="n">
        <v>10</v>
      </c>
      <c r="AC133" s="15" t="inlineStr">
        <is>
          <t>Mittel</t>
        </is>
      </c>
      <c r="AD133" s="15" t="inlineStr">
        <is>
          <t>Bestandsliste</t>
        </is>
      </c>
      <c r="AE133" s="16" t="inlineStr">
        <is>
          <t>https://www.aenu.com/</t>
        </is>
      </c>
      <c r="AF133" s="16" t="inlineStr">
        <is>
          <t>https://www.aenu.com/, https://www.aenu.com/contact/</t>
        </is>
      </c>
    </row>
    <row r="134">
      <c r="A134" s="24" t="n">
        <v>130</v>
      </c>
      <c r="B134" s="25" t="inlineStr">
        <is>
          <t>Ananda Impact Ventures</t>
        </is>
      </c>
      <c r="C134" s="26" t="inlineStr">
        <is>
          <t>C</t>
        </is>
      </c>
      <c r="D134" s="26" t="n">
        <v>56</v>
      </c>
      <c r="E134" s="15" t="inlineStr">
        <is>
          <t>Muenchen</t>
        </is>
      </c>
      <c r="F134" s="15" t="inlineStr">
        <is>
          <t>Deutschland</t>
        </is>
      </c>
      <c r="G134" s="15" t="inlineStr">
        <is>
          <t>VC (Impact, Early Stage; gegruendet 2009)</t>
        </is>
      </c>
      <c r="H134" s="16" t="inlineStr">
        <is>
          <t>Early Stage (Seed / Series A)</t>
        </is>
      </c>
      <c r="I134" s="15" t="inlineStr">
        <is>
          <t>n/a (nicht explizit ausgewiesen)</t>
        </is>
      </c>
      <c r="J134" s="16" t="inlineStr">
        <is>
          <t>n/a (nicht auf der Website ausgewiesen)</t>
        </is>
      </c>
      <c r="K134" s="16" t="inlineStr">
        <is>
          <t>n/a (nicht auf der Website ausgewiesen)</t>
        </is>
      </c>
      <c r="L134" s="15" t="inlineStr">
        <is>
          <t>Teilweise</t>
        </is>
      </c>
      <c r="M134" s="16" t="inlineStr">
        <is>
          <t>Impact-These 'systems disruptors' entlang planetarer Herausforderungen: Decarbonising Industry, Energy Transition, NatureTech, FemTech, Healthcare &amp; Wellbeing, Biosecurity, Blue Economy.</t>
        </is>
      </c>
      <c r="N134" s="16" t="inlineStr">
        <is>
          <t>Jua (AI-Foundation-Model fuer Wetter/Physik - echtes AI-Infrastruktur-Investment), Ocean Ledger, NatureMetrics (Umwelt-DNA-Daten), OroraTech (Satelliten-Waldbrandanalytik), Airmo, ieso Digital Health</t>
        </is>
      </c>
      <c r="O134" s="16" t="inlineStr">
        <is>
          <t>Mittel-gering: mit Jua und OroraTech gibt es reale ML-/Sensordaten-Kompetenz, aber Labeling-Infrastruktur ohne Impact-Wirkung passt nicht ins Mandat.</t>
        </is>
      </c>
      <c r="P134" s="16" t="inlineStr">
        <is>
          <t>-</t>
        </is>
      </c>
      <c r="Q134" s="16" t="inlineStr">
        <is>
          <t>Johannes Weber</t>
        </is>
      </c>
      <c r="R134" s="16" t="inlineStr">
        <is>
          <t>Founder (zweiter Founder: Florian Erber)</t>
        </is>
      </c>
      <c r="S134" s="16" t="inlineStr">
        <is>
          <t>n/a</t>
        </is>
      </c>
      <c r="T134" s="16" t="inlineStr">
        <is>
          <t>info@ananda.vc</t>
        </is>
      </c>
      <c r="U134" s="16" t="inlineStr">
        <is>
          <t>Etablierter Muenchner Frueh-Phasen-Impact-Fonds mit AI-Kompetenz im Portfolio (Jua), aber ein striktes Impact-Mandat entlang Klima/Nature/Health - reine B2B-Data-Infrastruktur erfuellt die Wirkungslogik nicht.</t>
        </is>
      </c>
      <c r="V134" s="16" t="inlineStr">
        <is>
          <t>Ticketgroesse und Fondsvolumen nicht oeffentlich; Impact-/Artikel-9-Reporting-Anforderungen; kein Software-/Data-Infra-Vertikal in der These.</t>
        </is>
      </c>
      <c r="W134" s="16" t="inlineStr">
        <is>
          <t>Nur mit einer belegbaren Impact-Story ansprechen (z.B. faire Arbeitsbedingungen/Upskilling in der Labeling-Workforce oder Trainingsdaten fuer Klima-/NatureTech-Modelle wie bei Jua).</t>
        </is>
      </c>
      <c r="X134" s="18" t="n">
        <v>24</v>
      </c>
      <c r="Y134" s="18" t="n">
        <v>8</v>
      </c>
      <c r="Z134" s="18" t="n">
        <v>8</v>
      </c>
      <c r="AA134" s="18" t="n">
        <v>6</v>
      </c>
      <c r="AB134" s="18" t="n">
        <v>10</v>
      </c>
      <c r="AC134" s="15" t="inlineStr">
        <is>
          <t>Mittel</t>
        </is>
      </c>
      <c r="AD134" s="15" t="inlineStr">
        <is>
          <t>Bestandsliste</t>
        </is>
      </c>
      <c r="AE134" s="16" t="inlineStr">
        <is>
          <t>https://www.ananda.vc</t>
        </is>
      </c>
      <c r="AF134" s="16" t="inlineStr">
        <is>
          <t>https://www.ananda.vc/</t>
        </is>
      </c>
    </row>
    <row r="135">
      <c r="A135" s="24" t="n">
        <v>131</v>
      </c>
      <c r="B135" s="25" t="inlineStr">
        <is>
          <t>Climentum Capital</t>
        </is>
      </c>
      <c r="C135" s="26" t="inlineStr">
        <is>
          <t>C</t>
        </is>
      </c>
      <c r="D135" s="26" t="n">
        <v>56</v>
      </c>
      <c r="E135" s="15" t="inlineStr">
        <is>
          <t>Kopenhagen (Bueros u.a. Berlin und Stockholm)</t>
        </is>
      </c>
      <c r="F135" s="18" t="inlineStr">
        <is>
          <t>DK</t>
        </is>
      </c>
      <c r="G135" s="18" t="inlineStr">
        <is>
          <t>VC</t>
        </is>
      </c>
      <c r="H135" s="16" t="inlineStr">
        <is>
          <t>Seed, Series A</t>
        </is>
      </c>
      <c r="I135" s="15" t="inlineStr">
        <is>
          <t>Ja, fuehrt Seed- und Series-A-Runden an</t>
        </is>
      </c>
      <c r="J135" s="16" t="inlineStr">
        <is>
          <t>1 - 5 Mio. EUR Erstinvestment, ca. 10 Prozent Zielanteil, 50 Prozent Reserven fuer Follow-ons</t>
        </is>
      </c>
      <c r="K135" s="16" t="inlineStr">
        <is>
          <t>Fonds II mit 60 Mio. EUR First Close (Juli 2026), Zielgroesse bis 100 Mio. EUR; Fonds I ebenfalls 60 Mio. EUR</t>
        </is>
      </c>
      <c r="L135" s="18" t="inlineStr">
        <is>
          <t>Nein</t>
        </is>
      </c>
      <c r="M135" s="16" t="inlineStr">
        <is>
          <t>Europaeisches Klima-Hardtech und industrielle Resilienz: Energie, Industrie, Transport, Landwirtschaft, Lieferketten; B2B mit messbarer CO2-Wirkung</t>
        </is>
      </c>
      <c r="N135" s="16" t="inlineStr">
        <is>
          <t>Ueberwiegend Hardware- und Deep-Tech-Beteiligungen im Klimabereich; keine belegten AI-/Data-Infrastruktur-Investments</t>
        </is>
      </c>
      <c r="O135" s="16" t="inlineStr">
        <is>
          <t>Keine belegte Relevanz</t>
        </is>
      </c>
      <c r="P135" s="16" t="inlineStr">
        <is>
          <t>Data-Infra-nah</t>
        </is>
      </c>
      <c r="Q135" s="16" t="inlineStr">
        <is>
          <t>n/a</t>
        </is>
      </c>
      <c r="R135" s="16" t="inlineStr">
        <is>
          <t>n/a</t>
        </is>
      </c>
      <c r="S135" s="16" t="inlineStr">
        <is>
          <t>n/a</t>
        </is>
      </c>
      <c r="T135" s="16" t="inlineStr">
        <is>
          <t>Kontaktformular auf climentum.com</t>
        </is>
      </c>
      <c r="U135" s="16" t="inlineStr">
        <is>
          <t>Frisch geschlossener Fonds II mit passender Stage, Ticketgroesse und explizitem DACH-Fokus, aber ein hartes Klima-Hardtech-Mandat ohne Andockpunkt fuer Data Labeling.</t>
        </is>
      </c>
      <c r="V135" s="16" t="inlineStr">
        <is>
          <t>Zwingender Nachweis von Klimawirkung; klarer Hardware-Bias, Software-/Servicemodelle passen nicht ins Mandat</t>
        </is>
      </c>
      <c r="W135" s="16" t="inlineStr">
        <is>
          <t>Nur mit einer belastbaren Industrie- oder Energie-Vertikale ansprechen, etwa Annotation von Inspektions- und Sensordaten fuer Netz- und Anlagenbetreiber.</t>
        </is>
      </c>
      <c r="X135" s="18" t="n">
        <v>28</v>
      </c>
      <c r="Y135" s="18" t="n">
        <v>6</v>
      </c>
      <c r="Z135" s="18" t="n">
        <v>3</v>
      </c>
      <c r="AA135" s="18" t="n">
        <v>9</v>
      </c>
      <c r="AB135" s="18" t="n">
        <v>10</v>
      </c>
      <c r="AC135" s="18" t="inlineStr">
        <is>
          <t>Hoch</t>
        </is>
      </c>
      <c r="AD135" s="15" t="inlineStr">
        <is>
          <t>Bestandsliste</t>
        </is>
      </c>
      <c r="AE135" s="16" t="inlineStr">
        <is>
          <t>https://climentum.com/</t>
        </is>
      </c>
      <c r="AF135" s="16" t="inlineStr">
        <is>
          <t>https://climentum.com/, https://www.eu-startups.com/2026/07/danish-climate-vc-climentum-capital-launches-fund-ii-with-e60-million-first-close/, https://tech.eu/2026/07/03/danish-vc-climentum-capital-secures-eur60m-first-close-for-climate-hardware-investments/</t>
        </is>
      </c>
    </row>
    <row r="136">
      <c r="A136" s="24" t="n">
        <v>132</v>
      </c>
      <c r="B136" s="25" t="inlineStr">
        <is>
          <t>TX Ventures</t>
        </is>
      </c>
      <c r="C136" s="26" t="inlineStr">
        <is>
          <t>C</t>
        </is>
      </c>
      <c r="D136" s="26" t="n">
        <v>56</v>
      </c>
      <c r="E136" s="15" t="inlineStr">
        <is>
          <t>Zuerich</t>
        </is>
      </c>
      <c r="F136" s="15" t="inlineStr">
        <is>
          <t>Schweiz</t>
        </is>
      </c>
      <c r="G136" s="15" t="inlineStr">
        <is>
          <t>VC (Corporate-backed Sektorfonds, TX Group)</t>
        </is>
      </c>
      <c r="H136" s="16" t="inlineStr">
        <is>
          <t>Seed bis Series A</t>
        </is>
      </c>
      <c r="I136" s="15" t="inlineStr">
        <is>
          <t>Ja (positioniert sich als fuehrender FinTech-Investor der Schweiz, uebernimmt Lead-Rollen)</t>
        </is>
      </c>
      <c r="J136" s="16" t="inlineStr">
        <is>
          <t>CHF 1,0-5,0 Mio. pro Investment</t>
        </is>
      </c>
      <c r="K136" s="16" t="inlineStr">
        <is>
          <t>CHF 100 Mio. Fonds, gebacked von der TX Group</t>
        </is>
      </c>
      <c r="L136" s="15" t="inlineStr">
        <is>
          <t>Teilweise</t>
        </is>
      </c>
      <c r="M136" s="16" t="inlineStr">
        <is>
          <t>FinTech-Spezialist: 'next generation financial services' - FinTech, InsurTech, PropTech, CyberTech, Digital Assets; Europa inkl. UK.</t>
        </is>
      </c>
      <c r="N136" s="16" t="inlineStr">
        <is>
          <t>Sinpex (AI-/NLP-gestuetzte KYC- und Dokumentenverarbeitung), Cashlink, Triple, Trustap; Managing Partner Bialkowski mit Big-Data-/Cloud-Hintergrund (Swisscom)</t>
        </is>
      </c>
      <c r="O136" s="16" t="inlineStr">
        <is>
          <t>Gering-mittel: Dokumenten-KI im FinTech braucht annotierte Daten, aber der Fonds investiert nur in Financial-Services-Anwendungen, nicht in horizontale Data-Infrastruktur.</t>
        </is>
      </c>
      <c r="P136" s="16" t="inlineStr">
        <is>
          <t>-</t>
        </is>
      </c>
      <c r="Q136" s="16" t="inlineStr">
        <is>
          <t>Jens Schleuniger</t>
        </is>
      </c>
      <c r="R136" s="16" t="inlineStr">
        <is>
          <t>Managing Partner, Fokus explizit B2B-FinTech und SaaS (zweiter Managing Partner: Krzysztof Bialkowski, Hintergrund IoT/Big Data/Cloud bei Swisscom)</t>
        </is>
      </c>
      <c r="S136" s="16" t="inlineStr">
        <is>
          <t>n/a</t>
        </is>
      </c>
      <c r="T136" s="16" t="inlineStr">
        <is>
          <t>Pitch-Us-Formular auf https://tx.ventures (Werdstrasse 21, 8021 Zuerich)</t>
        </is>
      </c>
      <c r="U136" s="16" t="inlineStr">
        <is>
          <t>Stage und Ticket (Seed/Series A, CHF 1-5 Mio.) passen und der Fonds ist aktiv, aber die These ist strikt FinTech/Financial-Services - horizontale Trainingsdaten-Infrastruktur faellt aus dem Mandat.</t>
        </is>
      </c>
      <c r="V136" s="16" t="inlineStr">
        <is>
          <t>Enges Sektormandat (FinTech/InsurTech/Digital Assets); Schweiz-Fokus mit Corporate-LP (TX Group); Deutschland nur sekundaer.</t>
        </is>
      </c>
      <c r="W136" s="16" t="inlineStr">
        <is>
          <t>Nur mit einem FinTech-spezifischen Wedge ansprechen - z.B. annotierte Trainingsdaten fuer KYC-/Dokumenten-KI, anschlussfaehig an Portfolio-Company Sinpex.</t>
        </is>
      </c>
      <c r="X136" s="18" t="n">
        <v>26</v>
      </c>
      <c r="Y136" s="18" t="n">
        <v>8</v>
      </c>
      <c r="Z136" s="18" t="n">
        <v>6</v>
      </c>
      <c r="AA136" s="18" t="n">
        <v>8</v>
      </c>
      <c r="AB136" s="18" t="n">
        <v>8</v>
      </c>
      <c r="AC136" s="18" t="inlineStr">
        <is>
          <t>Hoch</t>
        </is>
      </c>
      <c r="AD136" s="15" t="inlineStr">
        <is>
          <t>Bestandsliste</t>
        </is>
      </c>
      <c r="AE136" s="16" t="inlineStr">
        <is>
          <t>https://tx.ventures</t>
        </is>
      </c>
      <c r="AF136" s="16" t="inlineStr">
        <is>
          <t>https://tx.ventures/, https://tx.ventures/team</t>
        </is>
      </c>
    </row>
    <row r="137">
      <c r="A137" s="24" t="n">
        <v>133</v>
      </c>
      <c r="B137" s="25" t="inlineStr">
        <is>
          <t>Bitkraft</t>
        </is>
      </c>
      <c r="C137" s="26" t="inlineStr">
        <is>
          <t>C</t>
        </is>
      </c>
      <c r="D137" s="26" t="n">
        <v>55</v>
      </c>
      <c r="E137" s="15" t="inlineStr">
        <is>
          <t>Berlin / Denver / San Francisco (global aufgestellt)</t>
        </is>
      </c>
      <c r="F137" s="15" t="inlineStr">
        <is>
          <t>DE / US</t>
        </is>
      </c>
      <c r="G137" s="15" t="inlineStr">
        <is>
          <t>VC (Sektor-Spezialist Gaming)</t>
        </is>
      </c>
      <c r="H137" s="16" t="inlineStr">
        <is>
          <t>Pre-Seed/Seed bis Series B, Schwerpunkt Seed und Series A</t>
        </is>
      </c>
      <c r="I137" s="15" t="inlineStr">
        <is>
          <t>Ja - fuehrt Seed- und Series-A-Runden im Gaming-Bereich an</t>
        </is>
      </c>
      <c r="J137" s="16" t="inlineStr">
        <is>
          <t>n/a (Venture Fund III mit 275 Mio. USD, Einzeltickets typischerweise im einstelligen Millionenbereich)</t>
        </is>
      </c>
      <c r="K137" s="16" t="inlineStr">
        <is>
          <t>ca. 1,05 Mrd. USD AUM ueber sechs Fonds (vier Equity-, zwei Crypto-/Token-Fonds); Fund III: 275 Mio. USD, Closing April 2024; Minderheitsbeteiligung von Blue Owl</t>
        </is>
      </c>
      <c r="L137" s="15" t="inlineStr">
        <is>
          <t>Teilweise</t>
        </is>
      </c>
      <c r="M137" s="16" t="inlineStr">
        <is>
          <t>'Synthetic Reality' - Konvergenz physischer und digitaler Welten: Game Studios, Gaming-Technologie und -Infrastruktur, Development Tools, Backend Services, Web3/Digital Assets sowie AI im Kontext immersiver Erlebnisse</t>
        </is>
      </c>
      <c r="N137" s="16" t="inlineStr">
        <is>
          <t>Inworld AI (AI-gesteuerte interaktive Charaktere/Erlebnisse); weiterhin Gaming-Infrastruktur und Developer-Tools. Insgesamt 179 Investments, 10 Neuinvestments in den letzten 12 Monaten</t>
        </is>
      </c>
      <c r="O137" s="16" t="inlineStr">
        <is>
          <t>Gering-mittel: AI wird investiert, aber ausschliesslich im Gaming-/Synthetic-Reality-Kontext, nicht als horizontale Data-Infrastruktur</t>
        </is>
      </c>
      <c r="P137" s="16" t="inlineStr">
        <is>
          <t>-</t>
        </is>
      </c>
      <c r="Q137" s="16" t="inlineStr">
        <is>
          <t>Jens Hilgers</t>
        </is>
      </c>
      <c r="R137" s="16" t="inlineStr">
        <is>
          <t>Founding General Partner</t>
        </is>
      </c>
      <c r="S137" s="16" t="inlineStr">
        <is>
          <t>n/a</t>
        </is>
      </c>
      <c r="T137" s="16" t="inlineStr">
        <is>
          <t>Ueber Website https://www.bitkraft.vc/ bzw. LinkedIn https://www.linkedin.com/company/bitkraftvc</t>
        </is>
      </c>
      <c r="U137" s="16" t="inlineStr">
        <is>
          <t>Kapitalstarker und sehr aktiver Seed-/Series-A-Lead mit deutschen Wurzeln, aber strikt auf Gaming und Synthetic Reality fokussiert - eine horizontale Data-Labeling-Plattform faellt ausserhalb des Mandats. AI wird nur als Gaming-Enabler investiert.</t>
        </is>
      </c>
      <c r="V137" s="16" t="inlineStr">
        <is>
          <t>Enger Gaming-/Web3-Sektorfokus; global statt DACH-zentriert; Token-/Crypto-Anteil im Portfolio signalisiert andere Risikologik als B2B-Data-Infrastruktur</t>
        </is>
      </c>
      <c r="W137" s="16" t="inlineStr">
        <is>
          <t>Nur mit einer Gaming-Vertical-Story sinnvoll: Annotation und Trainingsdaten fuer Game-AI, NPC-Verhalten und Content-Moderation in virtuellen Welten - mit Inworld AI als Referenzpunkt.</t>
        </is>
      </c>
      <c r="X137" s="18" t="n">
        <v>24</v>
      </c>
      <c r="Y137" s="18" t="n">
        <v>8</v>
      </c>
      <c r="Z137" s="18" t="n">
        <v>7</v>
      </c>
      <c r="AA137" s="18" t="n">
        <v>9</v>
      </c>
      <c r="AB137" s="18" t="n">
        <v>7</v>
      </c>
      <c r="AC137" s="15" t="inlineStr">
        <is>
          <t>Mittel</t>
        </is>
      </c>
      <c r="AD137" s="15" t="inlineStr">
        <is>
          <t>Bestandsliste</t>
        </is>
      </c>
      <c r="AE137" s="16" t="inlineStr">
        <is>
          <t>https://www.bitkraft.vc/</t>
        </is>
      </c>
      <c r="AF137" s="16" t="inlineStr">
        <is>
          <t>https://www.bitkraft.vc/, https://tracxn.com/d/venture-capital/bitkraft-ventures/__08-JTwL9X-TPJj1Kq0o5CB-HBXGEP1M_cGrG0IB-P7s, https://www.vcsheet.com/fund/bitkraft-ventures, https://pulse2.com/bitkraft-ventures-receives-minority-fund-investment-from-blue-owl/</t>
        </is>
      </c>
    </row>
    <row r="138">
      <c r="A138" s="24" t="n">
        <v>134</v>
      </c>
      <c r="B138" s="25" t="inlineStr">
        <is>
          <t>Vireo Ventures</t>
        </is>
      </c>
      <c r="C138" s="26" t="inlineStr">
        <is>
          <t>C</t>
        </is>
      </c>
      <c r="D138" s="26" t="n">
        <v>55</v>
      </c>
      <c r="E138" s="15" t="inlineStr">
        <is>
          <t>Berlin</t>
        </is>
      </c>
      <c r="F138" s="15" t="inlineStr">
        <is>
          <t>Deutschland</t>
        </is>
      </c>
      <c r="G138" s="15" t="inlineStr">
        <is>
          <t>VC (Sektorspezialist Elektrifizierung / Energie)</t>
        </is>
      </c>
      <c r="H138" s="16" t="inlineStr">
        <is>
          <t>Pre-Seed und Seed (europäische Frühphase)</t>
        </is>
      </c>
      <c r="I138" s="15" t="inlineStr">
        <is>
          <t>Ja – führt Seed-Runden im Elektrifizierungssegment an</t>
        </is>
      </c>
      <c r="J138" s="16" t="inlineStr">
        <is>
          <t>bis zu 1 Mio. EUR</t>
        </is>
      </c>
      <c r="K138" s="16" t="inlineStr">
        <is>
          <t>Electrification Fund I: 50 Mio. EUR (Final Close September 2025); LPs u.a. EIF, NRW.BANK, EnBW New Ventures, Encevo, Verbund X</t>
        </is>
      </c>
      <c r="L138" s="15" t="inlineStr">
        <is>
          <t>Teilweise</t>
        </is>
      </c>
      <c r="M138" s="16" t="inlineStr">
        <is>
          <t>Software-enabled Startups entlang der Elektrifizierungs-Wertschöpfungskette: dezentrale Erzeugung, Smart Grids, Speicher, E-Mobilität, industrielle Anwendungen, Smart Infrastructure</t>
        </is>
      </c>
      <c r="N138" s="16" t="inlineStr">
        <is>
          <t>Encentive, Atmen, Green Fusion, About:Energy, FLEXECHARGE, Metiundo – durchgängig softwarebasierte Energie-Plattformen, kein horizontales AI-/Data-Infra-Investment</t>
        </is>
      </c>
      <c r="O138" s="16" t="inlineStr">
        <is>
          <t>Gering – Software-Fokus vorhanden, aber ausschließlich innerhalb des Energie-/Elektrifizierungs-Verticals</t>
        </is>
      </c>
      <c r="P138" s="16" t="inlineStr">
        <is>
          <t>Data-Infra-nah</t>
        </is>
      </c>
      <c r="Q138" s="16" t="inlineStr">
        <is>
          <t>n/a</t>
        </is>
      </c>
      <c r="R138" s="16" t="inlineStr">
        <is>
          <t>n/a</t>
        </is>
      </c>
      <c r="S138" s="16" t="inlineStr">
        <is>
          <t>n/a</t>
        </is>
      </c>
      <c r="T138" s="16" t="inlineStr">
        <is>
          <t>n/a (Kontakt über vireo.vc)</t>
        </is>
      </c>
      <c r="U138" s="16" t="inlineStr">
        <is>
          <t>Frischer 50-Mio.-EUR-Seed-Fonds in Berlin mit hohem Dry Powder und Software-Affinität – aber ein strikt sektorspezifisches Elektrifizierungs-Mandat, in das eine horizontale Data-Labeling-Plattform nicht fällt.</t>
        </is>
      </c>
      <c r="V138" s="16" t="inlineStr">
        <is>
          <t>Enges Sektormandat (Energie/Elektrifizierung); LP-Struktur aus Energieversorgern verstärkt den thematischen Zwang; Ticket max. 1 Mio. EUR</t>
        </is>
      </c>
      <c r="W138" s="16" t="inlineStr">
        <is>
          <t>Nur mit einem Energie-Vertical anschlussfähig – z.B. Annotation von Netz-, Sensor- und Anlagendaten für Predictive-Maintenance-Modelle bei Energieversorgern.</t>
        </is>
      </c>
      <c r="X138" s="18" t="n">
        <v>26</v>
      </c>
      <c r="Y138" s="18" t="n">
        <v>6</v>
      </c>
      <c r="Z138" s="18" t="n">
        <v>4</v>
      </c>
      <c r="AA138" s="18" t="n">
        <v>9</v>
      </c>
      <c r="AB138" s="18" t="n">
        <v>10</v>
      </c>
      <c r="AC138" s="18" t="inlineStr">
        <is>
          <t>Hoch</t>
        </is>
      </c>
      <c r="AD138" s="15" t="inlineStr">
        <is>
          <t>Bestandsliste</t>
        </is>
      </c>
      <c r="AE138" s="16" t="inlineStr">
        <is>
          <t>https://www.vireo.vc/</t>
        </is>
      </c>
      <c r="AF138" s="16" t="inlineStr">
        <is>
          <t>https://www.vireo.vc/2025/09/09/vireo-ventures-closes-e50m-electrification-fund-i-to-empower-european-early-stage-founders-orchestrating-an-all-electrified-world/, https://sifted.eu/articles/vireo-ventures-e50m-fund, https://www.eu-startups.com/2023/10/berlin-based-vireo-ventures-raises-e20-million-from-eif-to-accelerate-electrification-of-energy-systems/</t>
        </is>
      </c>
    </row>
    <row r="139">
      <c r="A139" s="24" t="n">
        <v>135</v>
      </c>
      <c r="B139" s="25" t="inlineStr">
        <is>
          <t>Spotlight Ventures</t>
        </is>
      </c>
      <c r="C139" s="26" t="inlineStr">
        <is>
          <t>C</t>
        </is>
      </c>
      <c r="D139" s="26" t="n">
        <v>54</v>
      </c>
      <c r="E139" s="15" t="inlineStr">
        <is>
          <t>Bonn (zweiter Standort Potsdam)</t>
        </is>
      </c>
      <c r="F139" s="18" t="inlineStr">
        <is>
          <t>DE</t>
        </is>
      </c>
      <c r="G139" s="15" t="inlineStr">
        <is>
          <t>VC / Venture Builder</t>
        </is>
      </c>
      <c r="H139" s="16" t="inlineStr">
        <is>
          <t>Pre-Seed und Seed</t>
        </is>
      </c>
      <c r="I139" s="15" t="inlineStr">
        <is>
          <t>Selten (Venture-Builder-Ansatz, kleine Tickets, meist Co-Investor)</t>
        </is>
      </c>
      <c r="J139" s="16" t="inlineStr">
        <is>
          <t>bis EUR 500k</t>
        </is>
      </c>
      <c r="K139" s="16" t="inlineStr">
        <is>
          <t>n/a (kein oeffentlich kommuniziertes Fondsvolumen; ca. 15 Investments seit Gruendung 2021)</t>
        </is>
      </c>
      <c r="L139" s="15" t="inlineStr">
        <is>
          <t>Teilweise</t>
        </is>
      </c>
      <c r="M139" s="16" t="inlineStr">
        <is>
          <t>Technologie- und Digitalunternehmen mit Schwerpunkt PropTech, RegTech, Marktplaetze und FoodTech sowie 'digital lifestyle'; ausgepraegter Diversity-, Equity- und Inclusion-Anspruch</t>
        </is>
      </c>
      <c r="N139" s="16" t="inlineStr">
        <is>
          <t>IQONIC.ai (KI-Anwendung), Whyzzer, Occtopus, Holiday Swap</t>
        </is>
      </c>
      <c r="O139" s="16" t="inlineStr">
        <is>
          <t>Gering: Ein einzelnes KI-nahes Investment, keine Data-Infrastruktur-, MLOps- oder Dev-Tools-Historie</t>
        </is>
      </c>
      <c r="P139" s="16" t="inlineStr">
        <is>
          <t>-</t>
        </is>
      </c>
      <c r="Q139" s="16" t="inlineStr">
        <is>
          <t>n/a (kein namentlich benanntes Investment-Team auf der Website auffindbar)</t>
        </is>
      </c>
      <c r="R139" s="16" t="inlineStr">
        <is>
          <t>n/a</t>
        </is>
      </c>
      <c r="S139" s="16" t="inlineStr">
        <is>
          <t>n/a</t>
        </is>
      </c>
      <c r="T139" s="16" t="inlineStr">
        <is>
          <t>hello@spotlightventures.de; Am Hauptbahnhof 6, 53111 Bonn</t>
        </is>
      </c>
      <c r="U139" s="16" t="inlineStr">
        <is>
          <t>Stage und Geografie passen (Pre-Seed/Seed, Deutschland), aber die These liegt auf PropTech, RegTech, Marktplaetzen und FoodTech - Data-Infrastruktur und AI-Tooling sind kein erkennbarer Schwerpunkt.</t>
        </is>
      </c>
      <c r="V139" s="16" t="inlineStr">
        <is>
          <t>Kein offengelegtes Fondsvolumen, kleines Ticket bis EUR 500k, Venture-Builder-Modell mit teils operativer Beteiligung, kein oeffentlich benanntes Investment-Team, sehr geringe Deal-Frequenz</t>
        </is>
      </c>
      <c r="W139" s="16" t="inlineStr">
        <is>
          <t>Nur als Beimischung im Syndikat ansprechen und den DEI-Anspruch aufgreifen: PathWize baut skalierbare, fair verguetete Human-in-the-loop-Labeling-Kapazitaet als Kern des Geschaeftsmodells.</t>
        </is>
      </c>
      <c r="X139" s="18" t="n">
        <v>25</v>
      </c>
      <c r="Y139" s="18" t="n">
        <v>10</v>
      </c>
      <c r="Z139" s="18" t="n">
        <v>5</v>
      </c>
      <c r="AA139" s="18" t="n">
        <v>5</v>
      </c>
      <c r="AB139" s="18" t="n">
        <v>9</v>
      </c>
      <c r="AC139" s="15" t="inlineStr">
        <is>
          <t>Mittel</t>
        </is>
      </c>
      <c r="AD139" s="15" t="inlineStr">
        <is>
          <t>Bestandsliste</t>
        </is>
      </c>
      <c r="AE139" s="16" t="inlineStr">
        <is>
          <t>https://spotlightventures.de/</t>
        </is>
      </c>
      <c r="AF139" s="16" t="inlineStr">
        <is>
          <t>https://spotlightventures.de/, https://www.eu-startups.com/investor/spotlight-ventures/, https://www.startbase.com/organization/spotlight-ventures/, https://tracxn.com/d/venture-capital/spotlight-ventures/__9Zk_qLRip6JAlxb7ijvCczOvAMwlMyczdVDbgRaAciU</t>
        </is>
      </c>
    </row>
    <row r="140">
      <c r="A140" s="24" t="n">
        <v>136</v>
      </c>
      <c r="B140" s="25" t="inlineStr">
        <is>
          <t>Entrepreneur First (EF)</t>
        </is>
      </c>
      <c r="C140" s="26" t="inlineStr">
        <is>
          <t>C</t>
        </is>
      </c>
      <c r="D140" s="26" t="n">
        <v>53</v>
      </c>
      <c r="E140" s="15" t="inlineStr">
        <is>
          <t>London (weitere Standorte: Bangalore, San Francisco)</t>
        </is>
      </c>
      <c r="F140" s="15" t="inlineStr">
        <is>
          <t>Vereinigtes Königreich</t>
        </is>
      </c>
      <c r="G140" s="15" t="inlineStr">
        <is>
          <t>Talent-Investor / Company Builder mit Fonds</t>
        </is>
      </c>
      <c r="H140" s="16" t="inlineStr">
        <is>
          <t>Pre-Company bis Pre-Seed (Gründung aus dem Programm heraus), Follow-on bis Series B</t>
        </is>
      </c>
      <c r="I140" s="15" t="inlineStr">
        <is>
          <t>Ja (im eigenen Pre-Seed), sonst Co-Investor</t>
        </is>
      </c>
      <c r="J140" s="16" t="inlineStr">
        <is>
          <t>bis 250 TUSD bei Firmengründung; bis 5 Mio. USD Folgefinanzierung über spätere Runden</t>
        </is>
      </c>
      <c r="K140" s="16" t="inlineStr">
        <is>
          <t>n/a (nicht auf der Website ausgewiesen); Portfoliowert laut eigenen Angaben über 16 Mrd. USD</t>
        </is>
      </c>
      <c r="L140" s="18" t="inlineStr">
        <is>
          <t>Ja</t>
        </is>
      </c>
      <c r="M140" s="16" t="inlineStr">
        <is>
          <t>'Wir machen außergewöhnliche Individuen zu finanzierten Gründern' - Talent-First-Ansatz mit Deep-Tech- und AI-Schwerpunkt. Cofounder-Matching, 9 Monate Büro, über 600 TUSD Technologie-Credits (u. a. Azure, OpenAI, Anthropic, GitHub).</t>
        </is>
      </c>
      <c r="N140" s="16" t="inlineStr">
        <is>
          <t>Cleo (AI-Finanzassistent), Omnea und Opply (AI-gestütztes Supply-Chain-Management), Neptune Robotics, Aztec, Magdrive - Website-belegt.</t>
        </is>
      </c>
      <c r="O140" s="16" t="inlineStr">
        <is>
          <t>Gering für ein bereits bestehendes Unternehmen. EF finanziert primär Teams vor der Gründung; ein bereits operierendes Data-Labeling-Startup passt strukturell nicht in das Kernprogramm.</t>
        </is>
      </c>
      <c r="P140" s="16" t="inlineStr">
        <is>
          <t>-</t>
        </is>
      </c>
      <c r="Q140" s="16" t="inlineStr">
        <is>
          <t>n/a (Website nennt auf der Startseite keine Investmentverantwortlichen)</t>
        </is>
      </c>
      <c r="R140" s="16" t="inlineStr">
        <is>
          <t>n/a</t>
        </is>
      </c>
      <c r="S140" s="16" t="inlineStr">
        <is>
          <t>n/a</t>
        </is>
      </c>
      <c r="T140" s="16" t="inlineStr">
        <is>
          <t>https://www.joinef.com/contact/</t>
        </is>
      </c>
      <c r="U140" s="16" t="inlineStr">
        <is>
          <t>AI- und Deep-Tech-affin und formal im Pre-Seed aktiv, aber das Modell zielt auf Teams vor der Unternehmensgründung. Für PathWize als bestehendes Unternehmen ist EF kein passender Kapitalgeber; die Ticketgröße von 250 TUSD ist zudem klein. Der Berliner EF-Standort besteht nach aktueller Websitelage nicht mehr, wodurch der DACH-Zugang fehlt.</t>
        </is>
      </c>
      <c r="V140" s="16" t="inlineStr">
        <is>
          <t>Kein klassischer Fundraising-Kanal für existierende Startups; Beteiligungsquote im Programm vergleichsweise hoch. Kein DACH-Standort mehr auf der Website gelistet. Fondsgröße nicht offengelegt.</t>
        </is>
      </c>
      <c r="W140" s="16" t="inlineStr">
        <is>
          <t>Nicht als Investor, sondern als Ökosystem-Kanal nutzen: EF-Portfoliounternehmen (Omnea, Opply, Neptune Robotics) sind potenzielle Kunden für annotierte Trainingsdaten. Partnerschaft oder Kundenzugang statt Finanzierungsanfrage.</t>
        </is>
      </c>
      <c r="X140" s="18" t="n">
        <v>18</v>
      </c>
      <c r="Y140" s="18" t="n">
        <v>14</v>
      </c>
      <c r="Z140" s="18" t="n">
        <v>8</v>
      </c>
      <c r="AA140" s="18" t="n">
        <v>8</v>
      </c>
      <c r="AB140" s="18" t="n">
        <v>5</v>
      </c>
      <c r="AC140" s="18" t="inlineStr">
        <is>
          <t>Hoch</t>
        </is>
      </c>
      <c r="AD140" s="15" t="inlineStr">
        <is>
          <t>NEU – Recherche-Ergaenzung</t>
        </is>
      </c>
      <c r="AE140" s="16" t="inlineStr">
        <is>
          <t>https://www.joinef.com/</t>
        </is>
      </c>
      <c r="AF140" s="16" t="inlineStr">
        <is>
          <t>https://www.joinef.com/</t>
        </is>
      </c>
    </row>
    <row r="141">
      <c r="A141" s="24" t="n">
        <v>137</v>
      </c>
      <c r="B141" s="25" t="inlineStr">
        <is>
          <t>Extantia Capital</t>
        </is>
      </c>
      <c r="C141" s="26" t="inlineStr">
        <is>
          <t>C</t>
        </is>
      </c>
      <c r="D141" s="26" t="n">
        <v>53</v>
      </c>
      <c r="E141" s="15" t="inlineStr">
        <is>
          <t>Berlin</t>
        </is>
      </c>
      <c r="F141" s="15" t="inlineStr">
        <is>
          <t>Deutschland</t>
        </is>
      </c>
      <c r="G141" s="15" t="inlineStr">
        <is>
          <t>VC (Climate-first, Artikel-9-Fonds nach SFDR)</t>
        </is>
      </c>
      <c r="H141" s="16" t="inlineStr">
        <is>
          <t>Seed bis Series A</t>
        </is>
      </c>
      <c r="I141" s="15" t="inlineStr">
        <is>
          <t>Ja - führt Seed- und Series-A-Runden im Climate-Bereich an</t>
        </is>
      </c>
      <c r="J141" s="16" t="inlineStr">
        <is>
          <t>Erstinvestments ca. 1 bis 5 Mio. EUR</t>
        </is>
      </c>
      <c r="K141" s="16" t="inlineStr">
        <is>
          <t>Flagship-Fonds mit 204 Mio. EUR (Closing November 2024); ca. 300 Mio. EUR AUM insgesamt</t>
        </is>
      </c>
      <c r="L141" s="18" t="inlineStr">
        <is>
          <t>Nein</t>
        </is>
      </c>
      <c r="M141" s="16" t="inlineStr">
        <is>
          <t>Ausschließlich Climate Tech und Dekarbonisierung ('re-engineered industries' für eine schnellere, günstigere und nachhaltigere Zukunft): saubere Energie, Batterien, Industrie-Dekarbonisierung, Klimafinanzierungs-Infrastruktur.</t>
        </is>
      </c>
      <c r="N141" s="16" t="inlineStr">
        <is>
          <t>n/a - Portfolio besteht aus Climate-Hardware und Materialien (LeydenJar Technologies, Epoch Biodesign, Modern Synthesis, AssetCool, Bees &amp; Bears, Tvindkraft)</t>
        </is>
      </c>
      <c r="O141" s="16" t="inlineStr">
        <is>
          <t>Gering: kein AI-, MLOps- oder Data-Infrastruktur-Investment; die Artikel-9-Klassifizierung erzwingt einen messbaren Klimabeitrag als Investitionsvoraussetzung.</t>
        </is>
      </c>
      <c r="P141" s="16" t="inlineStr">
        <is>
          <t>-</t>
        </is>
      </c>
      <c r="Q141" s="16" t="inlineStr">
        <is>
          <t>Sebastian Heitmann</t>
        </is>
      </c>
      <c r="R141" s="16" t="inlineStr">
        <is>
          <t>Founding / General Partner (weiterhin Carlota Ochoa im Führungsteam)</t>
        </is>
      </c>
      <c r="S141" s="16" t="inlineStr">
        <is>
          <t>n/a</t>
        </is>
      </c>
      <c r="T141" s="16" t="inlineStr">
        <is>
          <t>hello@extantia.com ; Pitch-Seite: https://www.extantia.com/pitch</t>
        </is>
      </c>
      <c r="U141" s="16" t="inlineStr">
        <is>
          <t>Stage (Seed bis Series A), Ticket (1 bis 5 Mio. EUR) und Geografie passen gut, aber Extantia ist ein reiner Climate-Tech-Investor mit Artikel-9-Mandat - eine horizontale Data-Labeling-Plattform erfüllt die Klimawirkungs-Anforderung nicht.</t>
        </is>
      </c>
      <c r="V141" s="16" t="inlineStr">
        <is>
          <t>Artikel-9-Fonds mit verbindlicher Klimawirkungs-Prüfung; kein einziges AI-/Software-Infrastruktur-Investment im Portfolio. Thematischer Ausschluss faktisch gegeben.</t>
        </is>
      </c>
      <c r="W141" s="16" t="inlineStr">
        <is>
          <t>Nur sinnvoll mit einem dedizierten Climate-Narrativ (z.B. annotierte Daten für Energie-, Netz- oder Emissions-Modelle) - andernfalls von der Liste streichen.</t>
        </is>
      </c>
      <c r="X141" s="18" t="n">
        <v>26</v>
      </c>
      <c r="Y141" s="18" t="n">
        <v>5</v>
      </c>
      <c r="Z141" s="18" t="n">
        <v>3</v>
      </c>
      <c r="AA141" s="18" t="n">
        <v>9</v>
      </c>
      <c r="AB141" s="18" t="n">
        <v>10</v>
      </c>
      <c r="AC141" s="18" t="inlineStr">
        <is>
          <t>Hoch</t>
        </is>
      </c>
      <c r="AD141" s="15" t="inlineStr">
        <is>
          <t>Bestandsliste</t>
        </is>
      </c>
      <c r="AE141" s="16" t="inlineStr">
        <is>
          <t>https://www.extantia.com/</t>
        </is>
      </c>
      <c r="AF141" s="16" t="inlineStr">
        <is>
          <t>https://www.extantia.com/, https://www.extantia.com/pitch, https://www.eu-startups.com/2024/11/berlin-based-extantia-capital-closes-e204-million-flagship-fund/, https://siliconcanals.com/extantia-capital-closes-article-9-flagship-fund/, https://superscout.co/investor/extantia</t>
        </is>
      </c>
    </row>
    <row r="142">
      <c r="A142" s="24" t="n">
        <v>138</v>
      </c>
      <c r="B142" s="25" t="inlineStr">
        <is>
          <t>be-exponential</t>
        </is>
      </c>
      <c r="C142" s="26" t="inlineStr">
        <is>
          <t>C</t>
        </is>
      </c>
      <c r="D142" s="26" t="n">
        <v>52</v>
      </c>
      <c r="E142" s="15" t="inlineStr">
        <is>
          <t>Leipzig</t>
        </is>
      </c>
      <c r="F142" s="18" t="inlineStr">
        <is>
          <t>DE</t>
        </is>
      </c>
      <c r="G142" s="18" t="inlineStr">
        <is>
          <t>VC</t>
        </is>
      </c>
      <c r="H142" s="16" t="inlineStr">
        <is>
          <t>Seed (teils Pre-Seed)</t>
        </is>
      </c>
      <c r="I142" s="15" t="inlineStr">
        <is>
          <t>n/a - Lead-Rolle nicht belegt, ueberwiegend Co-Investments</t>
        </is>
      </c>
      <c r="J142" s="16" t="inlineStr">
        <is>
          <t>n/a</t>
        </is>
      </c>
      <c r="K142" s="16" t="inlineStr">
        <is>
          <t>n/a (gegruendet 2021, kleines Portfolio)</t>
        </is>
      </c>
      <c r="L142" s="18" t="inlineStr">
        <is>
          <t>Nein</t>
        </is>
      </c>
      <c r="M142" s="16" t="inlineStr">
        <is>
          <t>B2B-Startups mit Fokus auf Smart Mobility, EV und Green Energy sowie SaaS und sonstige High-Tech-Produkte</t>
        </is>
      </c>
      <c r="N142" s="16" t="inlineStr">
        <is>
          <t>Keine AI-/Data-Infrastruktur-Investments belegt; Top-Sektoren sind High Tech und Transportation/Logistics Tech, juengste Investments munevo und IO-Dynamics (EV-Ladeloesungen)</t>
        </is>
      </c>
      <c r="O142" s="16" t="inlineStr">
        <is>
          <t>Gering: B2B-/SaaS-Affinitaet vorhanden, aber Mobilitaets- und Energie-Schwerpunkt ohne ML-Bezug</t>
        </is>
      </c>
      <c r="P142" s="16" t="inlineStr">
        <is>
          <t>Data-Infra-nah</t>
        </is>
      </c>
      <c r="Q142" s="16" t="inlineStr">
        <is>
          <t>n/a</t>
        </is>
      </c>
      <c r="R142" s="16" t="inlineStr">
        <is>
          <t>n/a</t>
        </is>
      </c>
      <c r="S142" s="16" t="inlineStr">
        <is>
          <t>n/a</t>
        </is>
      </c>
      <c r="T142" s="16" t="inlineStr">
        <is>
          <t>Ueber Website https://www.be-exponential.com/ bzw. LinkedIn https://www.linkedin.com/company/be-exponential-gmbh</t>
        </is>
      </c>
      <c r="U142" s="16" t="inlineStr">
        <is>
          <t>Deutscher Seed-Investor mit B2B-/SaaS-Offenheit, aber klarer Schwerpunkt auf Mobility, EV und Green Energy und ohne jedes belegte AI-/Data-Investment. Sehr kleines und junges Vehikel.</t>
        </is>
      </c>
      <c r="V142" s="16" t="inlineStr">
        <is>
          <t>Keine oeffentlichen Angaben zu Fondsgroesse und Ticket; sehr kleines Portfolio und geringe Deal-Frequenz; Thesen-Mismatch zum Data-Labeling-Geschaeft</t>
        </is>
      </c>
      <c r="W142" s="16" t="inlineStr">
        <is>
          <t>Nur mit einem industriellen Anwendungsfall ansprechen, etwa Annotation von Sensor- und Fahrzeugdaten fuer Mobility- und Energie-Kunden.</t>
        </is>
      </c>
      <c r="X142" s="18" t="n">
        <v>22</v>
      </c>
      <c r="Y142" s="18" t="n">
        <v>12</v>
      </c>
      <c r="Z142" s="18" t="n">
        <v>4</v>
      </c>
      <c r="AA142" s="18" t="n">
        <v>5</v>
      </c>
      <c r="AB142" s="18" t="n">
        <v>9</v>
      </c>
      <c r="AC142" s="15" t="inlineStr">
        <is>
          <t>Mittel</t>
        </is>
      </c>
      <c r="AD142" s="15" t="inlineStr">
        <is>
          <t>Bestandsliste</t>
        </is>
      </c>
      <c r="AE142" s="16" t="inlineStr">
        <is>
          <t>https://www.be-exponential.com/</t>
        </is>
      </c>
      <c r="AF142" s="16" t="inlineStr">
        <is>
          <t>https://www.be-exponential.com/, https://www.startbase.com/organization/be-exponential/, https://tracxn.com/d/venture-capital/beexponential/__5GXuPvgzYWWIA7dhsZ4t9VMpmP24EfkqmG5JfVFfAJU, https://www.crunchbase.com/organization/be10x-capital</t>
        </is>
      </c>
    </row>
    <row r="143">
      <c r="A143" s="24" t="n">
        <v>139</v>
      </c>
      <c r="B143" s="25" t="inlineStr">
        <is>
          <t>Check24 Venture Capital</t>
        </is>
      </c>
      <c r="C143" s="26" t="inlineStr">
        <is>
          <t>C</t>
        </is>
      </c>
      <c r="D143" s="26" t="n">
        <v>52</v>
      </c>
      <c r="E143" s="15" t="inlineStr">
        <is>
          <t>Muenchen</t>
        </is>
      </c>
      <c r="F143" s="18" t="inlineStr">
        <is>
          <t>DE</t>
        </is>
      </c>
      <c r="G143" s="15" t="inlineStr">
        <is>
          <t>Corporate VC</t>
        </is>
      </c>
      <c r="H143" s="16" t="inlineStr">
        <is>
          <t>Seed bis Growth (Early Stage und Wachstum)</t>
        </is>
      </c>
      <c r="I143" s="15" t="inlineStr">
        <is>
          <t>Teilweise, haeufig als Co-Investor</t>
        </is>
      </c>
      <c r="J143" s="16" t="inlineStr">
        <is>
          <t>bis ca. 10 Mio. EUR pro Unternehmen</t>
        </is>
      </c>
      <c r="K143" s="16" t="inlineStr">
        <is>
          <t>ueber 60 Mio. EUR investierbares Kapital, 10 - 20 geplante Beteiligungen</t>
        </is>
      </c>
      <c r="L143" s="15" t="inlineStr">
        <is>
          <t>Teilweise</t>
        </is>
      </c>
      <c r="M143" s="16" t="inlineStr">
        <is>
          <t>Fintech, Insurtech, Online-Marktplaetze und Software mit DACH-Fokus; rein finanzgetriebene Investitionsentscheidungen</t>
        </is>
      </c>
      <c r="N143" s="16" t="inlineStr">
        <is>
          <t>Software- und Marktplatzbeteiligungen im DACH-Raum; keine belegten AI-/Data-Infrastruktur-Investments</t>
        </is>
      </c>
      <c r="O143" s="16" t="inlineStr">
        <is>
          <t>Keine belegte Relevanz</t>
        </is>
      </c>
      <c r="P143" s="16" t="inlineStr">
        <is>
          <t>Data-Infra-nah</t>
        </is>
      </c>
      <c r="Q143" s="16" t="inlineStr">
        <is>
          <t>n/a</t>
        </is>
      </c>
      <c r="R143" s="16" t="inlineStr">
        <is>
          <t>n/a</t>
        </is>
      </c>
      <c r="S143" s="16" t="inlineStr">
        <is>
          <t>n/a</t>
        </is>
      </c>
      <c r="T143" s="16" t="inlineStr">
        <is>
          <t>Kontakt ueber impact.check24.de</t>
        </is>
      </c>
      <c r="U143" s="16" t="inlineStr">
        <is>
          <t>Stage und DACH-Geografie passen, aber die These ist auf Fintech, Insurtech und Consumer-Marktplaetze zugeschnitten und deckt B2B-Data-Infrastruktur nicht ab.</t>
        </is>
      </c>
      <c r="V143" s="16" t="inlineStr">
        <is>
          <t>Consumer- und Vergleichsportal-Bias der Muttergesellschaft; sehr kleines Investmentteam; wenig sichtbarer Deep-Tech-Dealflow</t>
        </is>
      </c>
      <c r="W143" s="16" t="inlineStr">
        <is>
          <t>Nur ueber einen konkreten Anwendungsfall ansprechen, etwa Annotation und Qualitaetssicherung von Versicherungs- und Vertragsdokumenten fuer CHECK24-nahe Prozesse.</t>
        </is>
      </c>
      <c r="X143" s="18" t="n">
        <v>22</v>
      </c>
      <c r="Y143" s="18" t="n">
        <v>10</v>
      </c>
      <c r="Z143" s="18" t="n">
        <v>4</v>
      </c>
      <c r="AA143" s="18" t="n">
        <v>6</v>
      </c>
      <c r="AB143" s="18" t="n">
        <v>10</v>
      </c>
      <c r="AC143" s="15" t="inlineStr">
        <is>
          <t>Mittel</t>
        </is>
      </c>
      <c r="AD143" s="15" t="inlineStr">
        <is>
          <t>Bestandsliste</t>
        </is>
      </c>
      <c r="AE143" s="16" t="inlineStr">
        <is>
          <t>https://impact.check24.de/de</t>
        </is>
      </c>
      <c r="AF143" s="16" t="inlineStr">
        <is>
          <t>https://impact.check24.de/, https://www.munich-startup.de/en/14921/check24-ventures-60-million-fund-for-startups/, https://www.crunchbase.com/organization/check24-ventures</t>
        </is>
      </c>
    </row>
    <row r="144">
      <c r="A144" s="24" t="n">
        <v>140</v>
      </c>
      <c r="B144" s="25" t="inlineStr">
        <is>
          <t>Henkel Ventures</t>
        </is>
      </c>
      <c r="C144" s="26" t="inlineStr">
        <is>
          <t>C</t>
        </is>
      </c>
      <c r="D144" s="26" t="n">
        <v>52</v>
      </c>
      <c r="E144" s="15" t="inlineStr">
        <is>
          <t>Duesseldorf</t>
        </is>
      </c>
      <c r="F144" s="15" t="inlineStr">
        <is>
          <t>Deutschland</t>
        </is>
      </c>
      <c r="G144" s="15" t="inlineStr">
        <is>
          <t>Corporate VC (Henkel AG &amp; Co. KGaA)</t>
        </is>
      </c>
      <c r="H144" s="16" t="inlineStr">
        <is>
          <t>Early Stage bis Series B</t>
        </is>
      </c>
      <c r="I144" s="15" t="inlineStr">
        <is>
          <t>Teilweise, ueberwiegend Co-Investor mit strategischem Mehrwert</t>
        </is>
      </c>
      <c r="J144" s="16" t="inlineStr">
        <is>
          <t>ca. 500 Tsd. EUR - 5 Mio. EUR</t>
        </is>
      </c>
      <c r="K144" s="16" t="inlineStr">
        <is>
          <t>ca. 300 Mio. EUR AUM</t>
        </is>
      </c>
      <c r="L144" s="15" t="inlineStr">
        <is>
          <t>Teilweise</t>
        </is>
      </c>
      <c r="M144" s="16" t="inlineStr">
        <is>
          <t>Sustainovation und Digitalisierung entlang der Henkel-Geschaeftsbereiche: Climate Tech, Deep Tech/Materialwissenschaft, Enterprise Tech (Manufacturing, Supply Chain), Commerce/MarTech/AdTech, Longevity. Software mit Simulation und AI fuer Chemie-F&amp;E wird explizit genannt.</t>
        </is>
      </c>
      <c r="N144" s="16" t="inlineStr">
        <is>
          <t>Software/Hardware-Tech fuer Chemie-F&amp;E mit Simulation und AI sowie datengetriebene MarTech-Tools werden als Fokusfelder genannt; konkrete Data-Infra-/MLOps-Beteiligungen n/a.</t>
        </is>
      </c>
      <c r="O144" s="16" t="inlineStr">
        <is>
          <t>Gering: AI wird nur als Anwendung innerhalb der Henkel-Wertschoepfung gedacht, nicht als Infrastruktur-Investmentthese.</t>
        </is>
      </c>
      <c r="P144" s="16" t="inlineStr">
        <is>
          <t>Data-Infra-nah</t>
        </is>
      </c>
      <c r="Q144" s="16" t="inlineStr">
        <is>
          <t>Vivian Titze</t>
        </is>
      </c>
      <c r="R144" s="16" t="inlineStr">
        <is>
          <t>Investorin bei Henkel Ventures (Global Venturing Rising Star 2026)</t>
        </is>
      </c>
      <c r="S144" s="16" t="inlineStr">
        <is>
          <t>n/a</t>
        </is>
      </c>
      <c r="T144" s="16" t="inlineStr">
        <is>
          <t>Kontaktformular unter henkel-ventures.com/contact-us</t>
        </is>
      </c>
      <c r="U144" s="16" t="inlineStr">
        <is>
          <t>Ticketgroesse (0,5-5 Mio. EUR) und Early-Stage-Mandat passen formal, aber der Investmentfilter ist strikt an Henkels Consumer- und Adhesives-Geschaeft gebunden - eine horizontale Data-Labeling-Plattform hat dort keinen strategischen Anker.</t>
        </is>
      </c>
      <c r="V144" s="16" t="inlineStr">
        <is>
          <t>Corporate-Strategiefilter dominiert; kein belegtes Data-Infra-Investment; Entscheidungswege ueber Konzernstrukturen.</t>
        </is>
      </c>
      <c r="W144" s="16" t="inlineStr">
        <is>
          <t>Nur als strategischer Kunde-Investor-Case: annotierte Bild- und Sensordaten fuer Henkels Adhesive-Qualitaetskontrolle und Chemie-F&amp;E-Modelle.</t>
        </is>
      </c>
      <c r="X144" s="18" t="n">
        <v>20</v>
      </c>
      <c r="Y144" s="18" t="n">
        <v>10</v>
      </c>
      <c r="Z144" s="18" t="n">
        <v>6</v>
      </c>
      <c r="AA144" s="18" t="n">
        <v>7</v>
      </c>
      <c r="AB144" s="18" t="n">
        <v>9</v>
      </c>
      <c r="AC144" s="15" t="inlineStr">
        <is>
          <t>Mittel</t>
        </is>
      </c>
      <c r="AD144" s="15" t="inlineStr">
        <is>
          <t>Bestandsliste</t>
        </is>
      </c>
      <c r="AE144" s="16" t="inlineStr">
        <is>
          <t>https://www.henkel-ventures.com/</t>
        </is>
      </c>
      <c r="AF144" s="16" t="inlineStr">
        <is>
          <t>https://www.henkel-ventures.com/, https://www.henkel-ventures.com/investment-focus, https://globalventuring.com/people/rising-stars-2026-vivian-titze-henkel-ventures/, https://www.openvc.app/fund/Henkel%20Ventures</t>
        </is>
      </c>
    </row>
    <row r="145">
      <c r="A145" s="24" t="n">
        <v>141</v>
      </c>
      <c r="B145" s="25" t="inlineStr">
        <is>
          <t>Rheingau Founders GmbH</t>
        </is>
      </c>
      <c r="C145" s="26" t="inlineStr">
        <is>
          <t>C</t>
        </is>
      </c>
      <c r="D145" s="26" t="n">
        <v>52</v>
      </c>
      <c r="E145" s="15" t="inlineStr">
        <is>
          <t>Frankfurt am Main / Berlin</t>
        </is>
      </c>
      <c r="F145" s="15" t="inlineStr">
        <is>
          <t>Deutschland</t>
        </is>
      </c>
      <c r="G145" s="15" t="inlineStr">
        <is>
          <t>VC / Company Builder &amp; Incubator</t>
        </is>
      </c>
      <c r="H145" s="16" t="inlineStr">
        <is>
          <t>Pre-Seed bis Series A</t>
        </is>
      </c>
      <c r="I145" s="15" t="inlineStr">
        <is>
          <t>Teilweise — als Company Builder häufig Gründungsgesellschafter, seltener klassischer Lead</t>
        </is>
      </c>
      <c r="J145" s="16" t="inlineStr">
        <is>
          <t>n/a</t>
        </is>
      </c>
      <c r="K145" s="16" t="inlineStr">
        <is>
          <t>n/a; 37 Portfoliounternehmen; Team nur noch 3 Personen inkl. 2 Partner</t>
        </is>
      </c>
      <c r="L145" s="15" t="inlineStr">
        <is>
          <t>Teilweise</t>
        </is>
      </c>
      <c r="M145" s="16" t="inlineStr">
        <is>
          <t>Frühphasige Ventures, die bestehende Prozesse und Wertschöpfungsketten nachhaltig disruptieren; Schwerpunkte Fintech, Insurtech, Healthtech, Proptech, Food Delivery; Deutschland und UK</t>
        </is>
      </c>
      <c r="N145" s="16" t="inlineStr">
        <is>
          <t>Qualifyze (Lieferanten-Audit-Daten für Pharma), realxdata (Immobilien-Datenanalytik), Akhetonics (photonisches Computing, letztes belegtes Investment Nov 2024); Exits: Lieferando, Urban Sports Club (Mar 2025 an Wellhub), Simplesurance, Grab</t>
        </is>
      </c>
      <c r="O145" s="16" t="inlineStr">
        <is>
          <t>Gering — Datenanalytik-Anwendungen im Portfolio, aber kein AI-Infrastruktur- oder Trainingsdaten-Bezug</t>
        </is>
      </c>
      <c r="P145" s="16" t="inlineStr">
        <is>
          <t>-</t>
        </is>
      </c>
      <c r="Q145" s="16" t="inlineStr">
        <is>
          <t>n/a (nur zwei Partner im Rest-Team, kein AI-/Data-Verantwortlicher belegbar)</t>
        </is>
      </c>
      <c r="R145" s="16" t="inlineStr">
        <is>
          <t>n/a</t>
        </is>
      </c>
      <c r="S145" s="16" t="inlineStr">
        <is>
          <t>n/a</t>
        </is>
      </c>
      <c r="T145" s="16" t="inlineStr">
        <is>
          <t>Kontaktseite auf rheingau-founders.com</t>
        </is>
      </c>
      <c r="U145" s="16" t="inlineStr">
        <is>
          <t>Stage und Geografie passen grundsätzlich, aber die These ist auf Fintech/Insurtech/Proptech ausgerichtet und die Investmenttätigkeit ist erkennbar ausgedünnt — das letzte belegbare Neuinvestment stammt aus November 2024.</t>
        </is>
      </c>
      <c r="V145" s="16" t="inlineStr">
        <is>
          <t>Deutlich reduzierte Aktivität: letztes dokumentiertes Investment Nov 2024 (Akhetonics), Team auf 3 Personen geschrumpft; Website-Newsbereich zuletzt 2021 gepflegt; kein Fondsvolumen und keine Ticket-Range publiziert; Company-Builder-Modell kann hohe Anteilsforderungen bedeuten</t>
        </is>
      </c>
      <c r="W145" s="16" t="inlineStr">
        <is>
          <t>Niedrige Priorität — falls überhaupt, über den Akhetonics-/Deep-Tech-Winkel und mit vorheriger Klärung, ob überhaupt noch investierbares Kapital vorhanden ist.</t>
        </is>
      </c>
      <c r="X145" s="18" t="n">
        <v>22</v>
      </c>
      <c r="Y145" s="18" t="n">
        <v>10</v>
      </c>
      <c r="Z145" s="18" t="n">
        <v>6</v>
      </c>
      <c r="AA145" s="18" t="n">
        <v>4</v>
      </c>
      <c r="AB145" s="18" t="n">
        <v>10</v>
      </c>
      <c r="AC145" s="15" t="inlineStr">
        <is>
          <t>Mittel</t>
        </is>
      </c>
      <c r="AD145" s="15" t="inlineStr">
        <is>
          <t>Bestandsliste</t>
        </is>
      </c>
      <c r="AE145" s="16" t="inlineStr">
        <is>
          <t>https://rheingau-founders.com/</t>
        </is>
      </c>
      <c r="AF145" s="16" t="inlineStr">
        <is>
          <t>https://rheingau-founders.com/, https://tracxn.com/d/venture-capital/rheingau-founders/__37FVUktotqrmmG1W3A3Azh26jpZA90c2BWEnHr4Fa48, https://www.crunchbase.com/organization/rheingau-founders</t>
        </is>
      </c>
    </row>
    <row r="146">
      <c r="A146" s="24" t="n">
        <v>142</v>
      </c>
      <c r="B146" s="25" t="inlineStr">
        <is>
          <t>Richmond View Ventures</t>
        </is>
      </c>
      <c r="C146" s="26" t="inlineStr">
        <is>
          <t>C</t>
        </is>
      </c>
      <c r="D146" s="26" t="n">
        <v>52</v>
      </c>
      <c r="E146" s="15" t="inlineStr">
        <is>
          <t>Berlin (zusätzlich San Francisco)</t>
        </is>
      </c>
      <c r="F146" s="15" t="inlineStr">
        <is>
          <t>Deutschland</t>
        </is>
      </c>
      <c r="G146" s="15" t="inlineStr">
        <is>
          <t>Angel-/Family-Office-Plattform mit VC-Charakter (gegründet 2007)</t>
        </is>
      </c>
      <c r="H146" s="16" t="inlineStr">
        <is>
          <t>Pre-Seed, Seed sowie Company Building; zusätzlich Nachfolge-/Übernahmemodell für etablierte Firmen</t>
        </is>
      </c>
      <c r="I146" s="15" t="inlineStr">
        <is>
          <t>Nein bzw. selten — überwiegend Co-Investor und Angel-Position</t>
        </is>
      </c>
      <c r="J146" s="16" t="inlineStr">
        <is>
          <t>n/a</t>
        </is>
      </c>
      <c r="K146" s="16" t="inlineStr">
        <is>
          <t>n/a (kein institutioneller Fonds ausgewiesen); 59 Investments, Team von ca. 4 Personen</t>
        </is>
      </c>
      <c r="L146" s="18" t="inlineStr">
        <is>
          <t>Nein</t>
        </is>
      </c>
      <c r="M146" s="16" t="inlineStr">
        <is>
          <t>B2B SaaS und DTC/E-Commerce-Tools mit starkem Gründerteam, skalierbarer Kundenakquise und idealerweise ersten Umsätzen; keine expliziten Sektorgrenzen</t>
        </is>
      </c>
      <c r="N146" s="16" t="inlineStr">
        <is>
          <t>Kein belegtes AI-/Data-Infra-Investment; Portfolio: Close (Sales-CRM), Instant (No-Code Shopify Page Builder), Instacart, Reputation, Zum, Vault Platform; 1 Unicorn, 2 IPOs, 10 Akquisitionen</t>
        </is>
      </c>
      <c r="O146" s="16" t="inlineStr">
        <is>
          <t>Gering — SaaS-Affinität ist vorhanden, aber weder Data-Infrastruktur noch ML-Kompetenz im Portfolio erkennbar</t>
        </is>
      </c>
      <c r="P146" s="16" t="inlineStr">
        <is>
          <t>Data-Infra-nah</t>
        </is>
      </c>
      <c r="Q146" s="16" t="inlineStr">
        <is>
          <t>Frederik Fleck</t>
        </is>
      </c>
      <c r="R146" s="16" t="inlineStr">
        <is>
          <t>Gründer der Plattform (Serienunternehmer, bündelt seit 2007 seine Angel-Investments); weitere gelistete Partner: Jan Schwenzien, Ralf Schwiegelshon</t>
        </is>
      </c>
      <c r="S146" s="16" t="inlineStr">
        <is>
          <t>n/a</t>
        </is>
      </c>
      <c r="T146" s="16" t="inlineStr">
        <is>
          <t>Kontakt über rvv.tv</t>
        </is>
      </c>
      <c r="U146" s="16" t="inlineStr">
        <is>
          <t>RVV investiert früh in B2B-SaaS und hat mit Instacart und Reputation echte Treffer, aber weder eine AI-/Data-These noch entsprechende Portfolio-Belege — und ohne institutionellen Fonds ist die Ticketgröße unklar.</t>
        </is>
      </c>
      <c r="V146" s="16" t="inlineStr">
        <is>
          <t>Kein ausgewiesener institutioneller Fonds (Angel-/Family-Office-Struktur), daher unklares Dry Powder; keine Ticket-Range publiziert; Doppelstrategie aus Venture und Unternehmensübernahmen; Fokus auf DTC/E-Commerce liegt weit weg von Deep Tech</t>
        </is>
      </c>
      <c r="W146" s="16" t="inlineStr">
        <is>
          <t>Als reines B2B-SaaS-Play positionieren: PathWize mit wiederkehrenden Umsätzen, skalierbarer Kundenakquise und ersten Referenzkunden — RVVs erklärtes Suchprofil, ohne den Deep-Tech-Jargon.</t>
        </is>
      </c>
      <c r="X146" s="18" t="n">
        <v>22</v>
      </c>
      <c r="Y146" s="18" t="n">
        <v>12</v>
      </c>
      <c r="Z146" s="18" t="n">
        <v>5</v>
      </c>
      <c r="AA146" s="18" t="n">
        <v>5</v>
      </c>
      <c r="AB146" s="18" t="n">
        <v>8</v>
      </c>
      <c r="AC146" s="15" t="inlineStr">
        <is>
          <t>Mittel</t>
        </is>
      </c>
      <c r="AD146" s="15" t="inlineStr">
        <is>
          <t>Bestandsliste</t>
        </is>
      </c>
      <c r="AE146" s="16" t="inlineStr">
        <is>
          <t>https://rvv.tv/</t>
        </is>
      </c>
      <c r="AF146" s="16" t="inlineStr">
        <is>
          <t>https://rvv.tv/, https://tracxn.com/d/venture-capital/richmond-view-ventures/__Blj5dPkvuiteA2Q4QgHAXB0sQ2dw4tfBSH2jpf9PzL4, https://www.crunchbase.com/organization/richmond-view-ventures</t>
        </is>
      </c>
    </row>
    <row r="147">
      <c r="A147" s="24" t="n">
        <v>143</v>
      </c>
      <c r="B147" s="25" t="inlineStr">
        <is>
          <t>Tengelmann Ventures</t>
        </is>
      </c>
      <c r="C147" s="26" t="inlineStr">
        <is>
          <t>C</t>
        </is>
      </c>
      <c r="D147" s="26" t="n">
        <v>52</v>
      </c>
      <c r="E147" s="15" t="inlineStr">
        <is>
          <t>Mülheim an der Ruhr</t>
        </is>
      </c>
      <c r="F147" s="15" t="inlineStr">
        <is>
          <t>Deutschland</t>
        </is>
      </c>
      <c r="G147" s="15" t="inlineStr">
        <is>
          <t>Corporate VC (Family-Office-nah, Tengelmann-Gruppe)</t>
        </is>
      </c>
      <c r="H147" s="16" t="inlineStr">
        <is>
          <t>Seed bis Series B, Schwerpunkt Series A</t>
        </is>
      </c>
      <c r="I147" s="15" t="inlineStr">
        <is>
          <t>Teilweise – tritt überwiegend als Co-Investor auf, gelegentlich Lead</t>
        </is>
      </c>
      <c r="J147" s="16" t="inlineStr">
        <is>
          <t>n/a (Durchschnittliche Rundengrößen: Seed ca. 5 Mio. USD, Series A ca. 8 Mio. USD)</t>
        </is>
      </c>
      <c r="K147" s="16" t="inlineStr">
        <is>
          <t>n/a (Evergreen-Struktur der Tengelmann-Gruppe, ca. 56 Portfolio-Investments)</t>
        </is>
      </c>
      <c r="L147" s="15" t="inlineStr">
        <is>
          <t>Teilweise</t>
        </is>
      </c>
      <c r="M147" s="16" t="inlineStr">
        <is>
          <t>Consumer-zentrierte B2C- und B2B-Geschäftsmodelle in DACH: Retail/E-Commerce, Marktplätze, Consumer Internet, Food, EdTech; Leitthemen Nachhaltigkeit, Alltagsvereinfachung, Individualisierung</t>
        </is>
      </c>
      <c r="N147" s="16" t="inlineStr">
        <is>
          <t>Blickfeld (LiDAR-Sensorik), Masterplan (B2B-Learning-SaaS), CareerFoundry (EdTech), Threedy-ähnliche Software-Investments nicht belegt; kein Data-Infra-/MLOps-Investment belegbar</t>
        </is>
      </c>
      <c r="O147" s="16" t="inlineStr">
        <is>
          <t>Gering – kein belegtes Investment in Trainingsdaten, Annotation oder ML-Infrastruktur; Consumer-/Retail-Fokus dominiert</t>
        </is>
      </c>
      <c r="P147" s="16" t="inlineStr">
        <is>
          <t>Data-Infra-nah</t>
        </is>
      </c>
      <c r="Q147" s="16" t="inlineStr">
        <is>
          <t>Stefan Peukert</t>
        </is>
      </c>
      <c r="R147" s="16" t="inlineStr">
        <is>
          <t>Founder &amp; CEO / Managing Director Tengelmann Ventures</t>
        </is>
      </c>
      <c r="S147" s="16" t="inlineStr">
        <is>
          <t>n/a</t>
        </is>
      </c>
      <c r="T147" s="16" t="inlineStr">
        <is>
          <t>ventureinvestment@tengelmann.de</t>
        </is>
      </c>
      <c r="U147" s="16" t="inlineStr">
        <is>
          <t>Stage (Seed/Series A) und DACH-Geografie passen, aber die These ist klar consumer- und retailgetrieben ohne AI-/Data-Infrastruktur-Schwerpunkt. Für ein B2B-Data-Labeling-Startup fehlt der thematische Anker.</t>
        </is>
      </c>
      <c r="V147" s="16" t="inlineStr">
        <is>
          <t>Nur 2 Neuinvestments in 2025 (geringe Deal-Frequenz); kein Tech-Infrastruktur-Track-Record; Corporate-VC-Abhängigkeit von der Tengelmann-Gruppe</t>
        </is>
      </c>
      <c r="W147" s="16" t="inlineStr">
        <is>
          <t>PathWize als Effizienzhebel für die datengetriebene Produkt- und Retail-Automatisierung im Tengelmann-Ökosystem positionieren (Trainingsdaten für Vision-/Katalog-Modelle im Handel).</t>
        </is>
      </c>
      <c r="X147" s="18" t="n">
        <v>22</v>
      </c>
      <c r="Y147" s="18" t="n">
        <v>8</v>
      </c>
      <c r="Z147" s="18" t="n">
        <v>6</v>
      </c>
      <c r="AA147" s="18" t="n">
        <v>6</v>
      </c>
      <c r="AB147" s="18" t="n">
        <v>10</v>
      </c>
      <c r="AC147" s="15" t="inlineStr">
        <is>
          <t>Mittel</t>
        </is>
      </c>
      <c r="AD147" s="15" t="inlineStr">
        <is>
          <t>Bestandsliste</t>
        </is>
      </c>
      <c r="AE147" s="16" t="inlineStr">
        <is>
          <t>https://www.tengelmann-ventures.com/</t>
        </is>
      </c>
      <c r="AF147" s="16" t="inlineStr">
        <is>
          <t>https://www.tengelmann-ventures.com/, https://tracxn.com/d/venture-capital/tengelmann-ventures/__KnarLafnud7oWLsZAhf-VjMrVxbQlQX2iJ2soa_IrFA, https://www.startbase.com/organization/tengelmann-ventures/</t>
        </is>
      </c>
    </row>
    <row r="148">
      <c r="A148" s="24" t="n">
        <v>144</v>
      </c>
      <c r="B148" s="25" t="inlineStr">
        <is>
          <t>Acton Capital</t>
        </is>
      </c>
      <c r="C148" s="26" t="inlineStr">
        <is>
          <t>C</t>
        </is>
      </c>
      <c r="D148" s="26" t="n">
        <v>51</v>
      </c>
      <c r="E148" s="15" t="inlineStr">
        <is>
          <t>Muenchen</t>
        </is>
      </c>
      <c r="F148" s="15" t="inlineStr">
        <is>
          <t>Deutschland</t>
        </is>
      </c>
      <c r="G148" s="15" t="inlineStr">
        <is>
          <t>VC / Growth Equity</t>
        </is>
      </c>
      <c r="H148" s="16" t="inlineStr">
        <is>
          <t>Series A und spaeter (Series B/C), Fokus auf umsatzstarke Scale-ups</t>
        </is>
      </c>
      <c r="I148" s="18" t="inlineStr">
        <is>
          <t>Ja</t>
        </is>
      </c>
      <c r="J148" s="16" t="inlineStr">
        <is>
          <t>5 bis 10 Mio. EUR initial</t>
        </is>
      </c>
      <c r="K148" s="16" t="inlineStr">
        <is>
          <t>Acton IV mit 225 Mio. EUR (Closing 2023); kumuliert deutlich hoeher</t>
        </is>
      </c>
      <c r="L148" s="15" t="inlineStr">
        <is>
          <t>Teilweise</t>
        </is>
      </c>
      <c r="M148" s="16" t="inlineStr">
        <is>
          <t>Technologiegetriebene Geschaeftsmodelle in Europa und Nordamerika; ausdruecklich generalistisch ('category creators' statt Hype), Schwerpunkte SaaS, Marktplaetze, Fintech, HealthTech, E-Commerce</t>
        </is>
      </c>
      <c r="N148" s="16" t="inlineStr">
        <is>
          <t>Paretos (Decision Intelligence / ML-Optimierung), Klaus (AI-gestuetzte Qualitaetssicherung, an Zendesk verkauft), SoSafe, Mambu, Clio, HomeToGo, iwoca - AI als Feature, nicht als Kategorie</t>
        </is>
      </c>
      <c r="O148" s="16" t="inlineStr">
        <is>
          <t>Niedrig - keine ML-Infrastruktur-, MLOps- oder Annotationsinvestments belegbar</t>
        </is>
      </c>
      <c r="P148" s="16" t="inlineStr">
        <is>
          <t>-</t>
        </is>
      </c>
      <c r="Q148" s="16" t="inlineStr">
        <is>
          <t>Dominik Alvermann</t>
        </is>
      </c>
      <c r="R148" s="16" t="inlineStr">
        <is>
          <t>Partner (Software/SaaS); weitere Partner u.a. Bettina Engert und Julius Luehr</t>
        </is>
      </c>
      <c r="S148" s="16" t="inlineStr">
        <is>
          <t>n/a</t>
        </is>
      </c>
      <c r="T148" s="16" t="inlineStr">
        <is>
          <t>info@actoncapital.com; Telefon +49 89 2421 887 0; Kontaktformular auf https://actoncapital.com/contact</t>
        </is>
      </c>
      <c r="U148" s="16" t="inlineStr">
        <is>
          <t>Muenchner Fonds mit deutschem Marktzugang, aber Einstieg erst ab Series A mit 5-10-Mio.-Tickets und Traktionsanspruch - fuer Pre-Seed/Seed keine Option. Die generalistische Tech-enabled-These adressiert AI nur als Produktmerkmal, nicht als Infrastrukturkategorie.</t>
        </is>
      </c>
      <c r="V148" s="16" t="inlineStr">
        <is>
          <t>Kein Pre-Seed/Seed; erwartet belastbare Umsatzkennzahlen; keine AI-first- oder Data-Infra-These; Fonds IV bereits 2023 geschlossen</t>
        </is>
      </c>
      <c r="W148" s="16" t="inlineStr">
        <is>
          <t>Erst bei belastbarem ARR und Series-A-Reife ansprechen - dann PathWize als kapitaleffizientes, wiederkehrendes Datenabo mit klarer Unit Economics positionieren, wie es Actons Category-Creator-Logik entspricht.</t>
        </is>
      </c>
      <c r="X148" s="18" t="n">
        <v>12</v>
      </c>
      <c r="Y148" s="18" t="n">
        <v>14</v>
      </c>
      <c r="Z148" s="18" t="n">
        <v>7</v>
      </c>
      <c r="AA148" s="18" t="n">
        <v>8</v>
      </c>
      <c r="AB148" s="18" t="n">
        <v>10</v>
      </c>
      <c r="AC148" s="15" t="inlineStr">
        <is>
          <t>Mittel</t>
        </is>
      </c>
      <c r="AD148" s="15" t="inlineStr">
        <is>
          <t>Bestandsliste</t>
        </is>
      </c>
      <c r="AE148" s="16" t="inlineStr">
        <is>
          <t>https://actoncapital.com/</t>
        </is>
      </c>
      <c r="AF148" s="16" t="inlineStr">
        <is>
          <t>https://actoncapital.com/, https://actoncapital.com/contact</t>
        </is>
      </c>
    </row>
    <row r="149">
      <c r="A149" s="24" t="n">
        <v>145</v>
      </c>
      <c r="B149" s="25" t="inlineStr">
        <is>
          <t>Brose Ventures</t>
        </is>
      </c>
      <c r="C149" s="26" t="inlineStr">
        <is>
          <t>C</t>
        </is>
      </c>
      <c r="D149" s="26" t="n">
        <v>51</v>
      </c>
      <c r="E149" s="15" t="inlineStr">
        <is>
          <t>Berlin (Muttergesellschaft Brose SE in Bamberg/Coburg)</t>
        </is>
      </c>
      <c r="F149" s="18" t="inlineStr">
        <is>
          <t>DE</t>
        </is>
      </c>
      <c r="G149" s="15" t="inlineStr">
        <is>
          <t>Corporate VC</t>
        </is>
      </c>
      <c r="H149" s="16" t="inlineStr">
        <is>
          <t>Early bis Late Stage; Schwerpunkt Seed bis Series B</t>
        </is>
      </c>
      <c r="I149" s="15" t="inlineStr">
        <is>
          <t>Selten, ueberwiegend Co-Investor</t>
        </is>
      </c>
      <c r="J149" s="16" t="inlineStr">
        <is>
          <t>0,5 - 3 Mio. EUR</t>
        </is>
      </c>
      <c r="K149" s="16" t="inlineStr">
        <is>
          <t>n/a (Fonds der Brose SE, Groesse nicht oeffentlich)</t>
        </is>
      </c>
      <c r="L149" s="15" t="inlineStr">
        <is>
          <t>Teilweise</t>
        </is>
      </c>
      <c r="M149" s="16" t="inlineStr">
        <is>
          <t>Mobility Tech: elektrifizierte und vernetzte Fahrzeuge, Mikromobilitaet, Sensorik, Automotive Software, neue Materialien und Produktionstechnologien; AI &amp; ML werden explizit als Fokusfeld genannt</t>
        </is>
      </c>
      <c r="N149" s="16" t="inlineStr">
        <is>
          <t>Sehr kleines Portfolio (u.a. Tset); keine belegten reinen AI-/Data-Infra-Investments</t>
        </is>
      </c>
      <c r="O149" s="16" t="inlineStr">
        <is>
          <t>Thematische Naehe ueber Sensorik und Fahrzeugwahrnehmung, aber kein belegtes Annotation-Investment</t>
        </is>
      </c>
      <c r="P149" s="16" t="inlineStr">
        <is>
          <t>Data-Infra-nah</t>
        </is>
      </c>
      <c r="Q149" s="16" t="inlineStr">
        <is>
          <t>n/a</t>
        </is>
      </c>
      <c r="R149" s="16" t="inlineStr">
        <is>
          <t>n/a</t>
        </is>
      </c>
      <c r="S149" s="16" t="inlineStr">
        <is>
          <t>n/a</t>
        </is>
      </c>
      <c r="T149" s="16" t="inlineStr">
        <is>
          <t>Kontaktformular ueber brose.com/brose-ventures</t>
        </is>
      </c>
      <c r="U149" s="16" t="inlineStr">
        <is>
          <t>AI und ML stehen zwar explizit im Fokusprofil, der Fonds ist aber strategisch auf Mobility-Zulieferthemen begrenzt und seit 2024 kaum sichtbar aktiv.</t>
        </is>
      </c>
      <c r="V149" s="16" t="inlineStr">
        <is>
          <t>Nur zwei bekannte Investments seit Gruendung 2021, letztes sichtbares Deal 2024; strategischer Nutzen fuer Brose ist Voraussetzung</t>
        </is>
      </c>
      <c r="W149" s="16" t="inlineStr">
        <is>
          <t>Ueber den konkreten Anwendungsfall Sensordaten- und Perception-Annotation fuer Fahrzeugzugangs- und Sitzsysteme einsteigen und einen Brose-Pilotkunden als Einstieg vorschlagen.</t>
        </is>
      </c>
      <c r="X149" s="18" t="n">
        <v>22</v>
      </c>
      <c r="Y149" s="18" t="n">
        <v>12</v>
      </c>
      <c r="Z149" s="18" t="n">
        <v>4</v>
      </c>
      <c r="AA149" s="18" t="n">
        <v>3</v>
      </c>
      <c r="AB149" s="18" t="n">
        <v>10</v>
      </c>
      <c r="AC149" s="15" t="inlineStr">
        <is>
          <t>Mittel</t>
        </is>
      </c>
      <c r="AD149" s="15" t="inlineStr">
        <is>
          <t>Bestandsliste</t>
        </is>
      </c>
      <c r="AE149" s="16" t="inlineStr">
        <is>
          <t>https://www.brose.com/de-de/unternehmen/brose-ventures</t>
        </is>
      </c>
      <c r="AF149" s="16" t="inlineStr">
        <is>
          <t>https://www.brose.com/de-en/company/brose-ventures/, https://www.crunchbase.com/organization/brose-ventures, https://pitchbook.com/profiles/investor/465631-48</t>
        </is>
      </c>
    </row>
    <row r="150">
      <c r="A150" s="24" t="n">
        <v>146</v>
      </c>
      <c r="B150" s="25" t="inlineStr">
        <is>
          <t>GGF (Green Generation Fund)</t>
        </is>
      </c>
      <c r="C150" s="26" t="inlineStr">
        <is>
          <t>C</t>
        </is>
      </c>
      <c r="D150" s="26" t="n">
        <v>51</v>
      </c>
      <c r="E150" s="15" t="inlineStr">
        <is>
          <t>Berlin</t>
        </is>
      </c>
      <c r="F150" s="15" t="inlineStr">
        <is>
          <t>Deutschland</t>
        </is>
      </c>
      <c r="G150" s="18" t="inlineStr">
        <is>
          <t>VC</t>
        </is>
      </c>
      <c r="H150" s="16" t="inlineStr">
        <is>
          <t>Pre-Seed, Seed, Series A</t>
        </is>
      </c>
      <c r="I150" s="15" t="inlineStr">
        <is>
          <t>Ja, fuehrt Pre-Seed/Seed-Runden im eigenen Sektor an</t>
        </is>
      </c>
      <c r="J150" s="16" t="inlineStr">
        <is>
          <t>ca. 500 Tsd. EUR - 2,5 Mio. EUR</t>
        </is>
      </c>
      <c r="K150" s="16" t="inlineStr">
        <is>
          <t>ca. 100 Mio. EUR (Fund I, 2022)</t>
        </is>
      </c>
      <c r="L150" s="18" t="inlineStr">
        <is>
          <t>Nein</t>
        </is>
      </c>
      <c r="M150" s="16" t="inlineStr">
        <is>
          <t>FoodTech, GreenTech, AgriTech, Klima und Nachhaltigkeit; wissenschaftsbasierte Spin-outs (Energie, Synthetische Biologie, Chemie, Robotik). Rein impact-/sustainability-getriebene These, kein Software-/Data-Fokus.</t>
        </is>
      </c>
      <c r="N150" s="16" t="inlineStr">
        <is>
          <t>Kein belegtes Data-Infra-/MLOps-Investment. Portfolio: Neggst, Biomilq, Greenlyte, Change Foods, Klim (Regenerative Landwirtschaft, teils datengetrieben, aber kein AI-Infra-Play).</t>
        </is>
      </c>
      <c r="O150" s="16" t="inlineStr">
        <is>
          <t>Sehr gering - keine Beruehrungspunkte zu Trainingsdaten, Annotation oder ML-Infrastruktur.</t>
        </is>
      </c>
      <c r="P150" s="16" t="inlineStr">
        <is>
          <t>Data-Infra-nah</t>
        </is>
      </c>
      <c r="Q150" s="16" t="inlineStr">
        <is>
          <t>Dr. Manon Sarah Littek</t>
        </is>
      </c>
      <c r="R150" s="16" t="inlineStr">
        <is>
          <t>Founding / General Partner (Co-Founder mit Janna Ensthaler)</t>
        </is>
      </c>
      <c r="S150" s="16" t="inlineStr">
        <is>
          <t>n/a</t>
        </is>
      </c>
      <c r="T150" s="16" t="inlineStr">
        <is>
          <t>Kontaktformular auf ggf.vc; E-Mail n/a</t>
        </is>
      </c>
      <c r="U150" s="16" t="inlineStr">
        <is>
          <t>Stage und Geografie passen perfekt (Berlin, Pre-Seed bis Series A, 100 Mio. EUR Fonds), aber die These ist strikt Food-/GreenTech und damit thematisch weit weg von Data Labeling und AI-Infrastruktur.</t>
        </is>
      </c>
      <c r="V150" s="16" t="inlineStr">
        <is>
          <t>Klarer Sektor-Mismatch; Fonds I von 2022 duerfte im Reinvestment-Modus sein; Impact-Mandat gegenueber LPs erschwert branchenfremde Deals.</t>
        </is>
      </c>
      <c r="W150" s="16" t="inlineStr">
        <is>
          <t>Nur sinnvoll, wenn PathWize einen konkreten Food-/Climate-/AgriTech-Use-Case fuer Labeling (z.B. Annotation von Satelliten-/Agrarbilddaten) als Einstieg positioniert.</t>
        </is>
      </c>
      <c r="X150" s="18" t="n">
        <v>28</v>
      </c>
      <c r="Y150" s="18" t="n">
        <v>4</v>
      </c>
      <c r="Z150" s="18" t="n">
        <v>2</v>
      </c>
      <c r="AA150" s="18" t="n">
        <v>7</v>
      </c>
      <c r="AB150" s="18" t="n">
        <v>10</v>
      </c>
      <c r="AC150" s="18" t="inlineStr">
        <is>
          <t>Hoch</t>
        </is>
      </c>
      <c r="AD150" s="15" t="inlineStr">
        <is>
          <t>Bestandsliste</t>
        </is>
      </c>
      <c r="AE150" s="16" t="inlineStr">
        <is>
          <t>https://www.ggf.vc/</t>
        </is>
      </c>
      <c r="AF150" s="16" t="inlineStr">
        <is>
          <t>https://www.ggf.vc/, https://www.eu-startups.com/2022/08/berlin-based-green-generation-fund-has-raised-e100-million-to-fuel-food-tech-and-green-tech-innovatio/, https://www.vc-magazin.de/blog/2022/06/29/green-generation-fund-100-mio-eur-fonds-fuer-foodtech-und-greentech/, https://superscout.co/investor/green-generation-fund</t>
        </is>
      </c>
    </row>
    <row r="151">
      <c r="A151" s="24" t="n">
        <v>147</v>
      </c>
      <c r="B151" s="25" t="inlineStr">
        <is>
          <t>Greenfield Capital</t>
        </is>
      </c>
      <c r="C151" s="26" t="inlineStr">
        <is>
          <t>C</t>
        </is>
      </c>
      <c r="D151" s="26" t="n">
        <v>51</v>
      </c>
      <c r="E151" s="15" t="inlineStr">
        <is>
          <t>Berlin</t>
        </is>
      </c>
      <c r="F151" s="15" t="inlineStr">
        <is>
          <t>Deutschland</t>
        </is>
      </c>
      <c r="G151" s="15" t="inlineStr">
        <is>
          <t>VC (Crypto/Web3-Spezialfonds)</t>
        </is>
      </c>
      <c r="H151" s="16" t="inlineStr">
        <is>
          <t>Pre-Seed, Seed, Late Seed, Early Growth</t>
        </is>
      </c>
      <c r="I151" s="15" t="inlineStr">
        <is>
          <t>Ja (fuehrt fruehe Runden in Krypto-Protokollen an)</t>
        </is>
      </c>
      <c r="J151" s="16" t="inlineStr">
        <is>
          <t>bis ca. EUR 5 Mio.+ (laut Vestbee-Profil), typisch Pre-Seed/Seed-Tickets</t>
        </is>
      </c>
      <c r="K151" s="16" t="inlineStr">
        <is>
          <t>n/a (nicht auf der Website ausgewiesen)</t>
        </is>
      </c>
      <c r="L151" s="18" t="inlineStr">
        <is>
          <t>Nein</t>
        </is>
      </c>
      <c r="M151" s="16" t="inlineStr">
        <is>
          <t>Ausschliesslich Krypto/Web3: 'long-term backers of early developer teams building toward an open, decentralized, and more robust architecture of tomorrow's web'. Fokus auf dezentrale Protokolle, Krypto-Infrastruktur, Developer-Teams.</t>
        </is>
      </c>
      <c r="N151" s="16" t="inlineStr">
        <is>
          <t>n/a - Portfolio ist krypto-/protokoll-lastig; keine belegten klassischen AI-/Data-Infra-Investments auf der oeffentlichen Seite auffindbar</t>
        </is>
      </c>
      <c r="O151" s="16" t="inlineStr">
        <is>
          <t>Sehr gering. Human-in-the-loop-Trainingsdaten sind kein Thema des Fonds; nur bei dezentralen Daten-/Compute-Netzwerken (DePIN) gaebe es eine indirekte Bruecke.</t>
        </is>
      </c>
      <c r="P151" s="16" t="inlineStr">
        <is>
          <t>Data-Infra-nah</t>
        </is>
      </c>
      <c r="Q151" s="16" t="inlineStr">
        <is>
          <t>Jascha Samadi</t>
        </is>
      </c>
      <c r="R151" s="16" t="inlineStr">
        <is>
          <t>Founding Partner (weiterer Founding Partner: Sebastian Blum)</t>
        </is>
      </c>
      <c r="S151" s="16" t="inlineStr">
        <is>
          <t>n/a</t>
        </is>
      </c>
      <c r="T151" s="16" t="inlineStr">
        <is>
          <t>https://greenfieldcapital.com/contact/</t>
        </is>
      </c>
      <c r="U151" s="16" t="inlineStr">
        <is>
          <t>Stage (Pre-Seed/Seed, Berlin, europaweit) passt sehr gut, die These aber nicht: Greenfield ist ein reiner Krypto-/Web3-Fonds ohne belegte AI-, MLOps- oder Data-Labeling-Investments.</t>
        </is>
      </c>
      <c r="V151" s="16" t="inlineStr">
        <is>
          <t>Reiner Krypto-Fokus; Fondsgroesse nicht oeffentlich; Domainwechsel greenfield.xyz -&gt; greenfieldcapital.com; kein Thesen-Overlap mit klassischer AI-Trainingsdaten-Infrastruktur.</t>
        </is>
      </c>
      <c r="W151" s="16" t="inlineStr">
        <is>
          <t>Nur sinnvoll, falls PathWize ein dezentrales/krypto-oekonomisches Labeling-Netzwerk (DePIN fuer Trainingsdaten) positioniert - sonst nicht ansprechen.</t>
        </is>
      </c>
      <c r="X151" s="18" t="n">
        <v>26</v>
      </c>
      <c r="Y151" s="18" t="n">
        <v>5</v>
      </c>
      <c r="Z151" s="18" t="n">
        <v>3</v>
      </c>
      <c r="AA151" s="18" t="n">
        <v>7</v>
      </c>
      <c r="AB151" s="18" t="n">
        <v>10</v>
      </c>
      <c r="AC151" s="15" t="inlineStr">
        <is>
          <t>Mittel</t>
        </is>
      </c>
      <c r="AD151" s="15" t="inlineStr">
        <is>
          <t>Bestandsliste</t>
        </is>
      </c>
      <c r="AE151" s="16" t="inlineStr">
        <is>
          <t>https://greenfieldcapital.com</t>
        </is>
      </c>
      <c r="AF151" s="16" t="inlineStr">
        <is>
          <t>https://greenfieldcapital.com/, https://greenfieldcapital.com/people/, https://www.vestbee.com/vc-list/greenfield-capital</t>
        </is>
      </c>
    </row>
    <row r="152">
      <c r="A152" s="24" t="n">
        <v>148</v>
      </c>
      <c r="B152" s="25" t="inlineStr">
        <is>
          <t>co-pace</t>
        </is>
      </c>
      <c r="C152" s="26" t="inlineStr">
        <is>
          <t>C</t>
        </is>
      </c>
      <c r="D152" s="26" t="n">
        <v>50</v>
      </c>
      <c r="E152" s="15" t="inlineStr">
        <is>
          <t>Frankfurt am Main (Continental AG, Hannover)</t>
        </is>
      </c>
      <c r="F152" s="18" t="inlineStr">
        <is>
          <t>DE</t>
        </is>
      </c>
      <c r="G152" s="15" t="inlineStr">
        <is>
          <t>Corporate VC</t>
        </is>
      </c>
      <c r="H152" s="16" t="inlineStr">
        <is>
          <t>Series A, Series B, Growth</t>
        </is>
      </c>
      <c r="I152" s="15" t="inlineStr">
        <is>
          <t>Selten, ueberwiegend strategischer Co-Investor</t>
        </is>
      </c>
      <c r="J152" s="16" t="inlineStr">
        <is>
          <t>n/a (typischerweise einstelliger Mio.-Bereich, nicht oeffentlich ausgewiesen)</t>
        </is>
      </c>
      <c r="K152" s="16" t="inlineStr">
        <is>
          <t>n/a</t>
        </is>
      </c>
      <c r="L152" s="18" t="inlineStr">
        <is>
          <t>Ja</t>
        </is>
      </c>
      <c r="M152" s="16" t="inlineStr">
        <is>
          <t>Autonome Systeme, Artificial Intelligence, Sensorik, Advanced Materials, Data Security, Antriebstechnik, Smart Cities</t>
        </is>
      </c>
      <c r="N152" s="16" t="inlineStr">
        <is>
          <t>Recogni (AI-Inferenzchips fuer Perception), Autobrains (autonome Fahr-KI), DeepDrive, TriLite</t>
        </is>
      </c>
      <c r="O152" s="16" t="inlineStr">
        <is>
          <t>Hohe thematische Naehe: Perception- und Autonomie-Portfolio ist auf annotierte Sensordaten angewiesen, jedoch kein direktes Labeling-Investment</t>
        </is>
      </c>
      <c r="P152" s="16" t="inlineStr">
        <is>
          <t>-</t>
        </is>
      </c>
      <c r="Q152" s="16" t="inlineStr">
        <is>
          <t>n/a</t>
        </is>
      </c>
      <c r="R152" s="16" t="inlineStr">
        <is>
          <t>n/a</t>
        </is>
      </c>
      <c r="S152" s="16" t="inlineStr">
        <is>
          <t>n/a</t>
        </is>
      </c>
      <c r="T152" s="16" t="inlineStr">
        <is>
          <t>Kontaktformular auf co-pace.com</t>
        </is>
      </c>
      <c r="U152" s="16" t="inlineStr">
        <is>
          <t>Inhaltlich naeher an AI und Perception als die meisten Corporate-VCs dieser Batch, aber Einstieg erst ab Series A und die Investmentaktivitaet ist zuletzt nahezu zum Erliegen gekommen.</t>
        </is>
      </c>
      <c r="V152" s="16" t="inlineStr">
        <is>
          <t>Nur rund 8 Investments seit 2017 und 2026 bislang keine Neuinvestments; Continental-Konzernumbau macht die Zukunft des CVC-Arms unsicher</t>
        </is>
      </c>
      <c r="W152" s="16" t="inlineStr">
        <is>
          <t>Ueber den Perception-Stack argumentieren: PathWize liefert die annotierten Sensordaten, die Portfoliounternehmen wie Recogni und Autobrains fuer Modelltraining benoetigen.</t>
        </is>
      </c>
      <c r="X152" s="18" t="n">
        <v>10</v>
      </c>
      <c r="Y152" s="18" t="n">
        <v>16</v>
      </c>
      <c r="Z152" s="18" t="n">
        <v>12</v>
      </c>
      <c r="AA152" s="18" t="n">
        <v>3</v>
      </c>
      <c r="AB152" s="18" t="n">
        <v>9</v>
      </c>
      <c r="AC152" s="15" t="inlineStr">
        <is>
          <t>Mittel</t>
        </is>
      </c>
      <c r="AD152" s="15" t="inlineStr">
        <is>
          <t>Bestandsliste</t>
        </is>
      </c>
      <c r="AE152" s="16" t="inlineStr">
        <is>
          <t>https://www.co-pace.com/</t>
        </is>
      </c>
      <c r="AF152" s="16" t="inlineStr">
        <is>
          <t>https://www.co-pace.com/, https://www.crunchbase.com/organization/co-pace, https://tracxn.com/d/venture-capital/copace</t>
        </is>
      </c>
    </row>
    <row r="153">
      <c r="A153" s="24" t="n">
        <v>149</v>
      </c>
      <c r="B153" s="25" t="inlineStr">
        <is>
          <t>Freiraum VC</t>
        </is>
      </c>
      <c r="C153" s="26" t="inlineStr">
        <is>
          <t>C</t>
        </is>
      </c>
      <c r="D153" s="26" t="n">
        <v>50</v>
      </c>
      <c r="E153" s="15" t="inlineStr">
        <is>
          <t>München</t>
        </is>
      </c>
      <c r="F153" s="15" t="inlineStr">
        <is>
          <t>Deutschland</t>
        </is>
      </c>
      <c r="G153" s="15" t="inlineStr">
        <is>
          <t>VC / Frühphasen-Vehikel des Strascheg Center for Entrepreneurship (SCE) der Hochschule München</t>
        </is>
      </c>
      <c r="H153" s="16" t="inlineStr">
        <is>
          <t>Pre-Seed und sehr frühes Seed, Schwerpunkt Hochschul-Spin-offs und Inkubator-Teams</t>
        </is>
      </c>
      <c r="I153" s="15" t="inlineStr">
        <is>
          <t>Nein bzw. selten - agiert als Micro-Ticket-Co-Investor in Runden von durchschnittlich ca. 500 Tsd. EUR</t>
        </is>
      </c>
      <c r="J153" s="16" t="inlineStr">
        <is>
          <t>ca. 50 Tsd. bis 200 Tsd. EUR, durchschnittlich ca. 100 Tsd. EUR</t>
        </is>
      </c>
      <c r="K153" s="16" t="inlineStr">
        <is>
          <t>n/a (nicht veröffentlicht); 17 Portfoliounternehmen</t>
        </is>
      </c>
      <c r="L153" s="18" t="inlineStr">
        <is>
          <t>Nein</t>
        </is>
      </c>
      <c r="M153" s="16" t="inlineStr">
        <is>
          <t>Branchenagnostisch ('early-stage startups across industries'), Auswahlkriterien sind Team, erste Traktion und verteidigbare Technologie. Dealflow überwiegend aus Hochschulinkubatoren und Acceleratoren.</t>
        </is>
      </c>
      <c r="N153" s="16" t="inlineStr">
        <is>
          <t>Modelwise und Synsor als technologienahe Beteiligungen; weiter Zerøtec, Refinq, Pantohealth, Onyx Biotech, Breathment, Voda - kein belegtes Data-Infrastruktur- oder MLOps-Investment</t>
        </is>
      </c>
      <c r="O153" s="16" t="inlineStr">
        <is>
          <t>Gering: keine AI-/Data-These, Portfolio überwiegend Health-, Climate- und Consumer-nah.</t>
        </is>
      </c>
      <c r="P153" s="16" t="inlineStr">
        <is>
          <t>Data-Infra-nah</t>
        </is>
      </c>
      <c r="Q153" s="16" t="inlineStr">
        <is>
          <t>David Photien</t>
        </is>
      </c>
      <c r="R153" s="16" t="inlineStr">
        <is>
          <t>Partner (weitere Partner: Prof. Dr. Klaus Sailer und Prof. Dr. Herbert Gillig)</t>
        </is>
      </c>
      <c r="S153" s="16" t="inlineStr">
        <is>
          <t>n/a</t>
        </is>
      </c>
      <c r="T153" s="16" t="inlineStr">
        <is>
          <t>hello@freiraum.vc ; Bewerbungsformular: https://scefreiraum.typeform.com/to/pGVTWfjM ; Heßstraße 89, 80797 München</t>
        </is>
      </c>
      <c r="U153" s="16" t="inlineStr">
        <is>
          <t>Freiraum investiert zwar exakt in der Pre-Seed-Phase in Deutschland, jedoch mit Micro-Tickets von 50 bis 200 Tsd. EUR, ohne AI-/Data-These und mit klarem Schwerpunkt auf Hochschul-Spin-offs der Hochschule München.</t>
        </is>
      </c>
      <c r="V153" s="16" t="inlineStr">
        <is>
          <t>Zu kleine Tickets für eine substanzielle Seed-Runde, kein Lead-Investor, keine Sektorexpertise in Data-Infrastruktur, geringe Investmentfrequenz.</t>
        </is>
      </c>
      <c r="W153" s="16" t="inlineStr">
        <is>
          <t>Nur als ergänzender Micro-Co-Investor in einer Pre-Seed-Runde ansprechen - relevant vor allem bei bestehendem Bezug zum Münchner Hochschul- und SCE-Ökosystem.</t>
        </is>
      </c>
      <c r="X153" s="18" t="n">
        <v>20</v>
      </c>
      <c r="Y153" s="18" t="n">
        <v>10</v>
      </c>
      <c r="Z153" s="18" t="n">
        <v>6</v>
      </c>
      <c r="AA153" s="18" t="n">
        <v>4</v>
      </c>
      <c r="AB153" s="18" t="n">
        <v>10</v>
      </c>
      <c r="AC153" s="18" t="inlineStr">
        <is>
          <t>Hoch</t>
        </is>
      </c>
      <c r="AD153" s="15" t="inlineStr">
        <is>
          <t>Bestandsliste</t>
        </is>
      </c>
      <c r="AE153" s="16" t="inlineStr">
        <is>
          <t>https://www.freiraum.vc/</t>
        </is>
      </c>
      <c r="AF153" s="16" t="inlineStr">
        <is>
          <t>https://www.freiraum.vc/, https://scefreiraum.typeform.com/to/pGVTWfjM, https://www.munich-startup.de/en/67761/freiraum-ventures-new-vc-of-the-sce/, https://therecursive.com/europe-university-spin-off-boom-freiraum-ventures/, https://www.crunchbase.com/organization/sce-freiraum-ventures</t>
        </is>
      </c>
    </row>
    <row r="154">
      <c r="A154" s="24" t="n">
        <v>150</v>
      </c>
      <c r="B154" s="25" t="inlineStr">
        <is>
          <t>Avala Capital</t>
        </is>
      </c>
      <c r="C154" s="26" t="inlineStr">
        <is>
          <t>C</t>
        </is>
      </c>
      <c r="D154" s="26" t="n">
        <v>49</v>
      </c>
      <c r="E154" s="15" t="inlineStr">
        <is>
          <t>Berlin</t>
        </is>
      </c>
      <c r="F154" s="18" t="inlineStr">
        <is>
          <t>DE</t>
        </is>
      </c>
      <c r="G154" s="15" t="inlineStr">
        <is>
          <t>VC (Lifecycle-Investor, Family-Office-nah)</t>
        </is>
      </c>
      <c r="H154" s="16" t="inlineStr">
        <is>
          <t>Seed bis Later Stage / Growth (Lifecycle-Ansatz)</t>
        </is>
      </c>
      <c r="I154" s="15" t="inlineStr">
        <is>
          <t>Teilweise - Lead-Rolle nicht durchgaengig belegt, ueberwiegend Co-Investments</t>
        </is>
      </c>
      <c r="J154" s="16" t="inlineStr">
        <is>
          <t>250.000 EUR bis 1,5 Mio. EUR, selektiv bis 25 Mio. EUR bei 'AAA-Assets'</t>
        </is>
      </c>
      <c r="K154" s="16" t="inlineStr">
        <is>
          <t>ca. 100 Mio. EUR AUM; ca. 40 Portfoliounternehmen</t>
        </is>
      </c>
      <c r="L154" s="18" t="inlineStr">
        <is>
          <t>Nein</t>
        </is>
      </c>
      <c r="M154" s="16" t="inlineStr">
        <is>
          <t>Drei Bereiche: Food Tech, Fintech und sonstiges 'Funky Tech'; B2B und B2C, SaaS, E-Commerce, Marktplaetze, Payments; Schwerpunkt Berlin und London</t>
        </is>
      </c>
      <c r="N154" s="16" t="inlineStr">
        <is>
          <t>Keine dedizierten AI-/Data-Infrastruktur-Investments belegt; bekannte Namen sind HelloFresh, Delivery Hero, MILES Mobility, Volocopter, Handshake - Consumer, Mobility und Marktplaetze</t>
        </is>
      </c>
      <c r="O154" s="16" t="inlineStr">
        <is>
          <t>Gering: generalistischer Tech-Investor ohne ML-/Data-Infra-Track-Record</t>
        </is>
      </c>
      <c r="P154" s="16" t="inlineStr">
        <is>
          <t>Data-Infra-nah</t>
        </is>
      </c>
      <c r="Q154" s="16" t="inlineStr">
        <is>
          <t>n/a (kein Partner mit AI-/Data-Fokus belegbar)</t>
        </is>
      </c>
      <c r="R154" s="16" t="inlineStr">
        <is>
          <t>n/a</t>
        </is>
      </c>
      <c r="S154" s="16" t="inlineStr">
        <is>
          <t>n/a</t>
        </is>
      </c>
      <c r="T154" s="16" t="inlineStr">
        <is>
          <t>Ueber Website https://avalacapital.com/</t>
        </is>
      </c>
      <c r="U154" s="16" t="inlineStr">
        <is>
          <t>Berliner Generalist mit passender Ticketgroesse und Fruehphasen-Zugang, aber die erklaerten Schwerpunkte Food Tech und Fintech sowie ein Consumer-/Marktplatz-lastiges Portfolio bieten keinen Anknuepfungspunkt fuer Data Labeling.</t>
        </is>
      </c>
      <c r="V154" s="16" t="inlineStr">
        <is>
          <t>Keine AI-/Data-These und kein technischer Track-Record; unklare aktuelle Investitionsaktivitaet; sehr breite Stage-Spanne deutet auf opportunistisches statt fokussiertes Vorgehen hin</t>
        </is>
      </c>
      <c r="W154" s="16" t="inlineStr">
        <is>
          <t>Nur als opportunistischer Co-Investor ansprechen, mit Fokus auf Umsatzwachstum und Kapitaleffizienz statt auf die Technologie-Story.</t>
        </is>
      </c>
      <c r="X154" s="18" t="n">
        <v>22</v>
      </c>
      <c r="Y154" s="18" t="n">
        <v>8</v>
      </c>
      <c r="Z154" s="18" t="n">
        <v>4</v>
      </c>
      <c r="AA154" s="18" t="n">
        <v>6</v>
      </c>
      <c r="AB154" s="18" t="n">
        <v>9</v>
      </c>
      <c r="AC154" s="15" t="inlineStr">
        <is>
          <t>Mittel</t>
        </is>
      </c>
      <c r="AD154" s="15" t="inlineStr">
        <is>
          <t>Bestandsliste</t>
        </is>
      </c>
      <c r="AE154" s="16" t="inlineStr">
        <is>
          <t>https://avalacapital.com/</t>
        </is>
      </c>
      <c r="AF154" s="16" t="inlineStr">
        <is>
          <t>https://avalacapital.com/, https://www.startbase.com/organization/avala-capital/, https://tracxn.com/d/venture-capital/avala-capital/__znBDhrZTwIXl9-he-YxoQ9vnO5cYdLYVvpzuJspUCx0, https://startup-map.berlin/investors/avala_capital/portfolio</t>
        </is>
      </c>
    </row>
    <row r="155">
      <c r="A155" s="24" t="n">
        <v>151</v>
      </c>
      <c r="B155" s="25" t="inlineStr">
        <is>
          <t>Blackfin Capital Partners</t>
        </is>
      </c>
      <c r="C155" s="26" t="inlineStr">
        <is>
          <t>C</t>
        </is>
      </c>
      <c r="D155" s="26" t="n">
        <v>49</v>
      </c>
      <c r="E155" s="15" t="inlineStr">
        <is>
          <t>Paris (Bueros u.a. in Bruessel, Frankfurt, Amsterdam)</t>
        </is>
      </c>
      <c r="F155" s="18" t="inlineStr">
        <is>
          <t>FR</t>
        </is>
      </c>
      <c r="G155" s="15" t="inlineStr">
        <is>
          <t>VC / PE (Venture-Arm: BlackFin Tech)</t>
        </is>
      </c>
      <c r="H155" s="16" t="inlineStr">
        <is>
          <t>BlackFin Tech: Seed und Series A; Kernhaus daneben Financial-Services-Buyouts</t>
        </is>
      </c>
      <c r="I155" s="15" t="inlineStr">
        <is>
          <t>Ja - BlackFin Tech fuehrt Series-A-Runden im Fintech-Bereich an</t>
        </is>
      </c>
      <c r="J155" s="16" t="inlineStr">
        <is>
          <t>ca. 1 bis 5 Mio. USD im Venture-Bereich</t>
        </is>
      </c>
      <c r="K155" s="16" t="inlineStr">
        <is>
          <t>BlackFin Tech Fund: 180 Mio. EUR (2018 geschlossen, urspruenglich mit 120 Mio. EUR gestartet); Gesamthaus deutlich groesser durch PE-Fonds</t>
        </is>
      </c>
      <c r="L155" s="18" t="inlineStr">
        <is>
          <t>Nein</t>
        </is>
      </c>
      <c r="M155" s="16" t="inlineStr">
        <is>
          <t>Ausschliesslich Financial Services: FinTech, InsurTech und RegTech in Europa; daneben Buyouts von Finanzdienstleistern</t>
        </is>
      </c>
      <c r="N155" s="16" t="inlineStr">
        <is>
          <t>Keine horizontalen AI-/Data-Infrastruktur-Investments belegt; AI kommt nur als Feature in Fintech-/Insurtech-Beteiligungen vor</t>
        </is>
      </c>
      <c r="O155" s="16" t="inlineStr">
        <is>
          <t>Gering: B2B-Softwareverstaendnis vorhanden, aber striktes Financial-Services-Mandat</t>
        </is>
      </c>
      <c r="P155" s="16" t="inlineStr">
        <is>
          <t>Data-Infra-nah</t>
        </is>
      </c>
      <c r="Q155" s="16" t="inlineStr">
        <is>
          <t>n/a (kein Tech-Partner mit AI-/Data-Fokus belegbar)</t>
        </is>
      </c>
      <c r="R155" s="16" t="inlineStr">
        <is>
          <t>n/a</t>
        </is>
      </c>
      <c r="S155" s="16" t="inlineStr">
        <is>
          <t>n/a</t>
        </is>
      </c>
      <c r="T155" s="16" t="inlineStr">
        <is>
          <t>Ueber https://www.blackfin.com/tech/</t>
        </is>
      </c>
      <c r="U155" s="16" t="inlineStr">
        <is>
          <t>Etablierter europaeischer Seed-/Series-A-Lead mit passender Ticketgroesse von 1 bis 5 Mio. USD, aber mit ausschliesslichem Mandat fuer Financial Services - Data Labeling als horizontale Infrastruktur passt nicht ins Portfolio.</t>
        </is>
      </c>
      <c r="V155" s="16" t="inlineStr">
        <is>
          <t>Reiner Fintech-/Insurtech-/Regtech-Fokus; Venture-Fonds stammt aus 2018 und duerfte weitgehend investiert sein - Dry Powder fuer Neuinvestments unklar; Frankreich-Schwerpunkt im Dealflow</t>
        </is>
      </c>
      <c r="W155" s="16" t="inlineStr">
        <is>
          <t>Nur mit einer Financial-Services-Vertical-Story ansprechen: annotierte Trainingsdaten fuer KYC, Betrugserkennung, Dokumentenextraktion und Regtech-Modelle.</t>
        </is>
      </c>
      <c r="X155" s="18" t="n">
        <v>22</v>
      </c>
      <c r="Y155" s="18" t="n">
        <v>7</v>
      </c>
      <c r="Z155" s="18" t="n">
        <v>5</v>
      </c>
      <c r="AA155" s="18" t="n">
        <v>7</v>
      </c>
      <c r="AB155" s="18" t="n">
        <v>8</v>
      </c>
      <c r="AC155" s="15" t="inlineStr">
        <is>
          <t>Mittel</t>
        </is>
      </c>
      <c r="AD155" s="15" t="inlineStr">
        <is>
          <t>Bestandsliste</t>
        </is>
      </c>
      <c r="AE155" s="16" t="inlineStr">
        <is>
          <t>https://www.blackfin.com/</t>
        </is>
      </c>
      <c r="AF155" s="16" t="inlineStr">
        <is>
          <t>https://www.blackfin.com/, https://www.blackfin.com/tech/, https://www.jasmincapital.com/en/blackfin-capital-partners-launches-e120-million-europe-focused-fintech-venture-fund/, https://tracxn.com/d/venture-capital/blackfin-tech/__bH0LBxiwKvTqhelPDVutSaPR_PL3NbAYsCKhe45VEhI</t>
        </is>
      </c>
    </row>
    <row r="156">
      <c r="A156" s="24" t="n">
        <v>152</v>
      </c>
      <c r="B156" s="25" t="inlineStr">
        <is>
          <t>Team Global Management GmbH</t>
        </is>
      </c>
      <c r="C156" s="26" t="inlineStr">
        <is>
          <t>C</t>
        </is>
      </c>
      <c r="D156" s="26" t="n">
        <v>49</v>
      </c>
      <c r="E156" s="15" t="inlineStr">
        <is>
          <t>Berlin (zweiter Standort Palo Alto)</t>
        </is>
      </c>
      <c r="F156" s="18" t="inlineStr">
        <is>
          <t>DE</t>
        </is>
      </c>
      <c r="G156" s="15" t="inlineStr">
        <is>
          <t>Technologie-Holding / Company Builder (kein klassischer Fonds)</t>
        </is>
      </c>
      <c r="H156" s="16" t="inlineStr">
        <is>
          <t>Gruendung und Fruehphase bis Wachstum; agiert als Mitgruender und langfristiger Halter</t>
        </is>
      </c>
      <c r="I156" s="15" t="inlineStr">
        <is>
          <t>Teilweise (haeufig Gruendungsgesellschafter bzw. Anker, nicht als klassischer Runden-Lead)</t>
        </is>
      </c>
      <c r="J156" s="16" t="inlineStr">
        <is>
          <t>n/a</t>
        </is>
      </c>
      <c r="K156" s="16" t="inlineStr">
        <is>
          <t>n/a (Holding-Bilanz statt Fonds; ca. 13 aktive Beteiligungen)</t>
        </is>
      </c>
      <c r="L156" s="15" t="inlineStr">
        <is>
          <t>Teilweise</t>
        </is>
      </c>
      <c r="M156" s="16" t="inlineStr">
        <is>
          <t>Frontier Tech: Air Mobility, Raumfahrt, Energie und Dekarbonisierung, Robotik, KI, fortschrittliche Materialien und Energiespeicher; erklaertes Ziel gesellschaftlicher Impact ueber Technologie</t>
        </is>
      </c>
      <c r="N156" s="16" t="inlineStr">
        <is>
          <t>Figure (humanoide Robotik mit AI-Stack), Dexterity (KI-gesteuerte Logistikrobotik), Incari (HMI-Software), Astranis, SpinLaunch, TAU Systems, Theion, QUANTEQ, Autoflight, Volocopter, Enpal</t>
        </is>
      </c>
      <c r="O156" s="16" t="inlineStr">
        <is>
          <t>Mittel-indirekt: Robotik-Beteiligungen wie Figure und Dexterity sind massive Verbraucher von annotierten Sensor- und Bilddaten, aber Team Global investiert nicht in Data-Software-Layer</t>
        </is>
      </c>
      <c r="P156" s="16" t="inlineStr">
        <is>
          <t>-</t>
        </is>
      </c>
      <c r="Q156" s="16" t="inlineStr">
        <is>
          <t>Lukasz Gadowski</t>
        </is>
      </c>
      <c r="R156" s="16" t="inlineStr">
        <is>
          <t>Gruender &amp; CEO (Mitgruender: Kolja Hebenstreit)</t>
        </is>
      </c>
      <c r="S156" s="16" t="inlineStr">
        <is>
          <t>https://www.linkedin.com/company/team-global-management-gmbh (Firmenprofil; persoenliches Profil nicht verifiziert)</t>
        </is>
      </c>
      <c r="T156" s="16" t="inlineStr">
        <is>
          <t>info@teamglobal.net; Friedrichstrasse 68, 10117 Berlin</t>
        </is>
      </c>
      <c r="U156" s="16" t="inlineStr">
        <is>
          <t>Frontier-Tech-Holding mit Hardware-Schwerpunkt (Air Mobility, Raumfahrt, Energie, Robotik); AI kommt nur als Bestandteil von Robotik-Beteiligungen vor, ein B2B-Data-Services-Modell passt nicht ins Portfolio-Raster.</t>
        </is>
      </c>
      <c r="V156" s="16" t="inlineStr">
        <is>
          <t>Kein Fonds und kein definierter Investmentprozess fuer externe Pitches; Company-Builder-Logik mit hohen Anteilsanspruechen; Fokus auf kapitalintensive Hardware; keine Software-/Data-Infra-Historie</t>
        </is>
      </c>
      <c r="W156" s="16" t="inlineStr">
        <is>
          <t>Nur ueber die Robotik-Schiene sinnvoll: PathWize kann annotierte Sensor- und Vision-Daten fuer Beteiligungen wie Figure und Dexterity liefern und sich so als Portfolio-Lieferant statt als Investment positionieren.</t>
        </is>
      </c>
      <c r="X156" s="18" t="n">
        <v>15</v>
      </c>
      <c r="Y156" s="18" t="n">
        <v>12</v>
      </c>
      <c r="Z156" s="18" t="n">
        <v>8</v>
      </c>
      <c r="AA156" s="18" t="n">
        <v>6</v>
      </c>
      <c r="AB156" s="18" t="n">
        <v>8</v>
      </c>
      <c r="AC156" s="15" t="inlineStr">
        <is>
          <t>Mittel</t>
        </is>
      </c>
      <c r="AD156" s="15" t="inlineStr">
        <is>
          <t>Bestandsliste</t>
        </is>
      </c>
      <c r="AE156" s="16" t="inlineStr">
        <is>
          <t>https://teamglobal.net/</t>
        </is>
      </c>
      <c r="AF156" s="16" t="inlineStr">
        <is>
          <t>https://teamglobal.net/, https://www.crunchbase.com/organization/team-europe-ventures, https://www.linkedin.com/company/team-global-management-gmbh, https://www.cbinsights.com/company/team-global</t>
        </is>
      </c>
    </row>
    <row r="157">
      <c r="A157" s="24" t="n">
        <v>153</v>
      </c>
      <c r="B157" s="25" t="inlineStr">
        <is>
          <t>Bonventure</t>
        </is>
      </c>
      <c r="C157" s="26" t="inlineStr">
        <is>
          <t>C</t>
        </is>
      </c>
      <c r="D157" s="26" t="n">
        <v>48</v>
      </c>
      <c r="E157" s="15" t="inlineStr">
        <is>
          <t>Muenchen</t>
        </is>
      </c>
      <c r="F157" s="18" t="inlineStr">
        <is>
          <t>DE</t>
        </is>
      </c>
      <c r="G157" s="15" t="inlineStr">
        <is>
          <t>VC (Impact)</t>
        </is>
      </c>
      <c r="H157" s="16" t="inlineStr">
        <is>
          <t>Seed, Series A</t>
        </is>
      </c>
      <c r="I157" s="15" t="inlineStr">
        <is>
          <t>Ja (Lead oder Co-Lead)</t>
        </is>
      </c>
      <c r="J157" s="16" t="inlineStr">
        <is>
          <t>1 - 2,5 Mio. EUR Erstticket</t>
        </is>
      </c>
      <c r="K157" s="16" t="inlineStr">
        <is>
          <t>n/a (mehrere Impact-Fonds seit 2003, aktuelle Fondsgroesse nicht oeffentlich ausgewiesen)</t>
        </is>
      </c>
      <c r="L157" s="18" t="inlineStr">
        <is>
          <t>Nein</t>
        </is>
      </c>
      <c r="M157" s="16" t="inlineStr">
        <is>
          <t>Impact Investing mit messbarer Wirkung: Gesundheit, Bildung &amp; Chancengleichheit, Klima &amp; Natur, nachhaltiger Konsum</t>
        </is>
      </c>
      <c r="N157" s="16" t="inlineStr">
        <is>
          <t>Ueber 70 Beteiligungen, jedoch keine belegten AI-/Data-Infrastruktur-Investments</t>
        </is>
      </c>
      <c r="O157" s="16" t="inlineStr">
        <is>
          <t>Keine belegte Relevanz</t>
        </is>
      </c>
      <c r="P157" s="16" t="inlineStr">
        <is>
          <t>Data-Infra-nah</t>
        </is>
      </c>
      <c r="Q157" s="16" t="inlineStr">
        <is>
          <t>n/a</t>
        </is>
      </c>
      <c r="R157" s="16" t="inlineStr">
        <is>
          <t>n/a</t>
        </is>
      </c>
      <c r="S157" s="16" t="inlineStr">
        <is>
          <t>n/a</t>
        </is>
      </c>
      <c r="T157" s="16" t="inlineStr">
        <is>
          <t>Kontakt- und Bewerbungsformular auf bonventure.de/founders</t>
        </is>
      </c>
      <c r="U157" s="16" t="inlineStr">
        <is>
          <t>Stage, Ticket und DACH-Geografie passen gut, doch das reine Impact-Mandat ohne AI-/Data-These macht PathWize ohne belastbare Wirkungsstory nicht investierbar.</t>
        </is>
      </c>
      <c r="V157" s="16" t="inlineStr">
        <is>
          <t>Zwingender Impact-Nachweis mit Wirkungskennzahlen; 2026 bislang keine sichtbaren Neuinvestments</t>
        </is>
      </c>
      <c r="W157" s="16" t="inlineStr">
        <is>
          <t>Nur mit klarer Impact-Erzaehlung ansprechen, etwa faire Arbeitsbedingungen und Qualifizierung in der Data-Labeling-Wertschoepfungskette als Gegenmodell zu Billiglohn-Annotation.</t>
        </is>
      </c>
      <c r="X157" s="18" t="n">
        <v>26</v>
      </c>
      <c r="Y157" s="18" t="n">
        <v>4</v>
      </c>
      <c r="Z157" s="18" t="n">
        <v>2</v>
      </c>
      <c r="AA157" s="18" t="n">
        <v>6</v>
      </c>
      <c r="AB157" s="18" t="n">
        <v>10</v>
      </c>
      <c r="AC157" s="15" t="inlineStr">
        <is>
          <t>Mittel</t>
        </is>
      </c>
      <c r="AD157" s="15" t="inlineStr">
        <is>
          <t>Bestandsliste</t>
        </is>
      </c>
      <c r="AE157" s="16" t="inlineStr">
        <is>
          <t>https://www.bonventure.de/</t>
        </is>
      </c>
      <c r="AF157" s="16" t="inlineStr">
        <is>
          <t>https://www.bonventure.de/, https://www.bonventure.de/founders/, https://tracxn.com/d/venture-capital/bonventure</t>
        </is>
      </c>
    </row>
    <row r="158">
      <c r="A158" s="24" t="n">
        <v>154</v>
      </c>
      <c r="B158" s="25" t="inlineStr">
        <is>
          <t>J.C.M.B. Beteiligungs GmbH</t>
        </is>
      </c>
      <c r="C158" s="26" t="inlineStr">
        <is>
          <t>C</t>
        </is>
      </c>
      <c r="D158" s="26" t="n">
        <v>48</v>
      </c>
      <c r="E158" s="15" t="inlineStr">
        <is>
          <t>Hamburg</t>
        </is>
      </c>
      <c r="F158" s="15" t="inlineStr">
        <is>
          <t>Deutschland</t>
        </is>
      </c>
      <c r="G158" s="15" t="inlineStr">
        <is>
          <t>VC (inhabergefuehrte, unabhaengige Beteiligungsgesellschaft / Family Office)</t>
        </is>
      </c>
      <c r="H158" s="16" t="inlineStr">
        <is>
          <t>Pre-Seed, Seed</t>
        </is>
      </c>
      <c r="I158" s="15" t="inlineStr">
        <is>
          <t>Teilweise, oft als frueher Co-Investor gemeinsam mit u.a. IBB Ventures</t>
        </is>
      </c>
      <c r="J158" s="16" t="inlineStr">
        <is>
          <t>n/a</t>
        </is>
      </c>
      <c r="K158" s="16" t="inlineStr">
        <is>
          <t>n/a (Evergreen-Struktur, kein klassischer Fonds)</t>
        </is>
      </c>
      <c r="L158" s="18" t="inlineStr">
        <is>
          <t>Nein</t>
        </is>
      </c>
      <c r="M158" s="16" t="inlineStr">
        <is>
          <t>Digitale Geschaeftsmodelle breit: Internet, Entertainment/Musik, Medien, Umwelttechnologien, Dienstleistungen. Sparringspartner-Rolle fuer Gruenderteams statt thematischer Spezialisierung.</t>
        </is>
      </c>
      <c r="N158" s="16" t="inlineStr">
        <is>
          <t>Kein belegtes AI-/Data-Infra-Investment. Bekannte Beteiligungen: Sofatutor (Exit), Aupeo (Exit), Cardisio, Circolution, dunatura.</t>
        </is>
      </c>
      <c r="O158" s="16" t="inlineStr">
        <is>
          <t>Gering - Portfolio zuletzt eher Medizintechnik, Verpackung und Consumer, keine ML-Infrastruktur.</t>
        </is>
      </c>
      <c r="P158" s="16" t="inlineStr">
        <is>
          <t>Data-Infra-nah</t>
        </is>
      </c>
      <c r="Q158" s="16" t="inlineStr">
        <is>
          <t>n/a (Team aus 3 Personen, davon 2 Partner)</t>
        </is>
      </c>
      <c r="R158" s="16" t="inlineStr">
        <is>
          <t>n/a</t>
        </is>
      </c>
      <c r="S158" s="16" t="inlineStr">
        <is>
          <t>n/a</t>
        </is>
      </c>
      <c r="T158" s="16" t="inlineStr">
        <is>
          <t>Kontakt ueber jcmb.de; E-Mail n/a</t>
        </is>
      </c>
      <c r="U158" s="16" t="inlineStr">
        <is>
          <t>Echter Pre-Seed-/Seed-Investor in Deutschland, aber generalistisch-medienlastig, mit nur rund 14 Investments seit 2008 und ohne jeden AI- oder Data-Infra-Track-Record.</t>
        </is>
      </c>
      <c r="V158" s="16" t="inlineStr">
        <is>
          <t>Sehr geringe Investitionsfrequenz; kein Fondsvolumen oder Dry Powder ausgewiesen; kein technischer Deep-Tech-Anspruch; Team von nur drei Personen.</t>
        </is>
      </c>
      <c r="W158" s="16" t="inlineStr">
        <is>
          <t>Als schneller, unbuerokratischer Pre-Seed-Co-Investor neben einem technischen Lead ansprechen, mit Betonung auf frueher Umsatzgenerierung durch Dienstleistungsanteile.</t>
        </is>
      </c>
      <c r="X158" s="18" t="n">
        <v>26</v>
      </c>
      <c r="Y158" s="18" t="n">
        <v>6</v>
      </c>
      <c r="Z158" s="18" t="n">
        <v>3</v>
      </c>
      <c r="AA158" s="18" t="n">
        <v>4</v>
      </c>
      <c r="AB158" s="18" t="n">
        <v>9</v>
      </c>
      <c r="AC158" s="15" t="inlineStr">
        <is>
          <t>Mittel</t>
        </is>
      </c>
      <c r="AD158" s="15" t="inlineStr">
        <is>
          <t>Bestandsliste</t>
        </is>
      </c>
      <c r="AE158" s="16" t="inlineStr">
        <is>
          <t>https://www.jcmb.de/</t>
        </is>
      </c>
      <c r="AF158" s="16" t="inlineStr">
        <is>
          <t>https://www.jcmb.de/, https://www.jcmb.de/portfolio, https://www.deutsche-startups.de/verzeichnisse/investors-a-z/j-c-m-b/, https://tracxn.com/d/venture-capital/jcmb-beteiligungs/__K8ltDmf9yDzxfwh6q3kthcIcyXn4oVWuOBi_M4-uYaQ</t>
        </is>
      </c>
    </row>
    <row r="159">
      <c r="A159" s="24" t="n">
        <v>155</v>
      </c>
      <c r="B159" s="25" t="inlineStr">
        <is>
          <t>AM Ventures</t>
        </is>
      </c>
      <c r="C159" s="26" t="inlineStr">
        <is>
          <t>C</t>
        </is>
      </c>
      <c r="D159" s="26" t="n">
        <v>47</v>
      </c>
      <c r="E159" s="15" t="inlineStr">
        <is>
          <t>Starnberg (bei Muenchen)</t>
        </is>
      </c>
      <c r="F159" s="15" t="inlineStr">
        <is>
          <t>Deutschland</t>
        </is>
      </c>
      <c r="G159" s="15" t="inlineStr">
        <is>
          <t>Corporate VC (Ursprung EOS/Additive-Manufacturing-Umfeld)</t>
        </is>
      </c>
      <c r="H159" s="16" t="inlineStr">
        <is>
          <t>Seed bis Growth</t>
        </is>
      </c>
      <c r="I159" s="15" t="inlineStr">
        <is>
          <t>Ja (im Nischenbereich Additive Manufacturing)</t>
        </is>
      </c>
      <c r="J159" s="16" t="inlineStr">
        <is>
          <t>500 Tsd. bis 3 Mio. EUR</t>
        </is>
      </c>
      <c r="K159" s="16" t="inlineStr">
        <is>
          <t>n/a (auf der Website nicht ausgewiesen)</t>
        </is>
      </c>
      <c r="L159" s="18" t="inlineStr">
        <is>
          <t>Nein</t>
        </is>
      </c>
      <c r="M159" s="16" t="inlineStr">
        <is>
          <t>Industrieller 3D-Druck und Additive Manufacturing entlang der gesamten Kette: Materialien, Hardware, Software und Anwendungen; Schwerpunktthemen klimaeffiziente Anwendungen, Medizintechnik und digitale verteilte Fertigung; Scout-Netzwerk in 13 Laendern</t>
        </is>
      </c>
      <c r="N159" s="16" t="inlineStr">
        <is>
          <t>keine AI-Infrastruktur- oder Data-Investments belegbar; Softwareanteil bezieht sich auf Fertigungs- und Prozesssoftware fuer 3D-Druck</t>
        </is>
      </c>
      <c r="O159" s="16" t="inlineStr">
        <is>
          <t>Niedrig - allenfalls indirekt ueber Qualitaetskontrolle/Defekterkennung im Druckprozess</t>
        </is>
      </c>
      <c r="P159" s="16" t="inlineStr">
        <is>
          <t>-</t>
        </is>
      </c>
      <c r="Q159" s="16" t="inlineStr">
        <is>
          <t>Arno Held</t>
        </is>
      </c>
      <c r="R159" s="16" t="inlineStr">
        <is>
          <t>Co-Founder / Managing Partner (zweiter Gruender: Johann Oberhofer)</t>
        </is>
      </c>
      <c r="S159" s="16" t="inlineStr">
        <is>
          <t>n/a</t>
        </is>
      </c>
      <c r="T159" s="16" t="inlineStr">
        <is>
          <t>info@amventures.com; Bewerbungsformular https://vcmo0v4arr8.typeform.com/to/WFTbxeWR</t>
        </is>
      </c>
      <c r="U159" s="16" t="inlineStr">
        <is>
          <t>Deutscher Fonds mit passender Seed-Ticketgroesse von 500 Tsd. bis 3 Mio. EUR, aber ein streng vertikales Mandat auf industriellen 3D-Druck und Additive Manufacturing. Eine horizontale Data-Labeling-Plattform faellt vollstaendig ausserhalb dieser These.</t>
        </is>
      </c>
      <c r="V159" s="16" t="inlineStr">
        <is>
          <t>Sehr enges Vertikalmandat (Additive Manufacturing); Corporate-VC-Struktur mit strategischen Interessen; Fondsgroesse und Dry Powder nicht offengelegt; kein AI-/Data-Bezug</t>
        </is>
      </c>
      <c r="W159" s="16" t="inlineStr">
        <is>
          <t>Nur mit einem konkreten Additive-Manufacturing-Anwendungsfall ansprechbar, etwa annotierte Bilddaten fuer automatisierte Defekterkennung in Druckprozessen - andernfalls kein Investor-Fit.</t>
        </is>
      </c>
      <c r="X159" s="18" t="n">
        <v>22</v>
      </c>
      <c r="Y159" s="18" t="n">
        <v>5</v>
      </c>
      <c r="Z159" s="18" t="n">
        <v>3</v>
      </c>
      <c r="AA159" s="18" t="n">
        <v>7</v>
      </c>
      <c r="AB159" s="18" t="n">
        <v>10</v>
      </c>
      <c r="AC159" s="15" t="inlineStr">
        <is>
          <t>Mittel</t>
        </is>
      </c>
      <c r="AD159" s="15" t="inlineStr">
        <is>
          <t>Bestandsliste</t>
        </is>
      </c>
      <c r="AE159" s="16" t="inlineStr">
        <is>
          <t>https://www.amventures.com/</t>
        </is>
      </c>
      <c r="AF159" s="16" t="inlineStr">
        <is>
          <t>https://www.amventures.com/, https://vcmo0v4arr8.typeform.com/to/WFTbxeWR</t>
        </is>
      </c>
    </row>
    <row r="160">
      <c r="A160" s="24" t="n">
        <v>156</v>
      </c>
      <c r="B160" s="25" t="inlineStr">
        <is>
          <t>Bitstone Capital</t>
        </is>
      </c>
      <c r="C160" s="26" t="inlineStr">
        <is>
          <t>C</t>
        </is>
      </c>
      <c r="D160" s="26" t="n">
        <v>47</v>
      </c>
      <c r="E160" s="15" t="inlineStr">
        <is>
          <t>Koeln (Am Kabellager 11, 51063)</t>
        </is>
      </c>
      <c r="F160" s="18" t="inlineStr">
        <is>
          <t>DE</t>
        </is>
      </c>
      <c r="G160" s="15" t="inlineStr">
        <is>
          <t>VC (Sektor-Spezialist PropTech/ConTech)</t>
        </is>
      </c>
      <c r="H160" s="16" t="inlineStr">
        <is>
          <t>Seed bis Series A (teils Pre-Seed)</t>
        </is>
      </c>
      <c r="I160" s="15" t="inlineStr">
        <is>
          <t>Teilweise - fuehrt kleinere Seed-Runden im PropTech-Segment an</t>
        </is>
      </c>
      <c r="J160" s="16" t="inlineStr">
        <is>
          <t>n/a</t>
        </is>
      </c>
      <c r="K160" s="16" t="inlineStr">
        <is>
          <t>n/a (gegruendet 2017, 24 Portfoliounternehmen, Team von vier Personen)</t>
        </is>
      </c>
      <c r="L160" s="18" t="inlineStr">
        <is>
          <t>Nein</t>
        </is>
      </c>
      <c r="M160" s="16" t="inlineStr">
        <is>
          <t>Ausschliesslich Immobilien- und Bautechnologie entlang der Verticals Plan &amp; Build, Manage &amp; Operate, Finance &amp; Transact, New City Solutions und Climate Solutions; Deutschland und breiter Europa</t>
        </is>
      </c>
      <c r="N160" s="16" t="inlineStr">
        <is>
          <t>Keine horizontalen AI-/Data-Infrastruktur-Investments; Exits/Beteiligungen wie Doozer und Inreal Technologies liegen im Real-Estate-/Construction-Tech-Bereich</t>
        </is>
      </c>
      <c r="O160" s="16" t="inlineStr">
        <is>
          <t>Gering: allenfalls indirekt ueber Bild- und Planannotation in Bau- und Immobilienanwendungen</t>
        </is>
      </c>
      <c r="P160" s="16" t="inlineStr">
        <is>
          <t>Data-Infra-nah</t>
        </is>
      </c>
      <c r="Q160" s="16" t="inlineStr">
        <is>
          <t>n/a</t>
        </is>
      </c>
      <c r="R160" s="16" t="inlineStr">
        <is>
          <t>n/a</t>
        </is>
      </c>
      <c r="S160" s="16" t="inlineStr">
        <is>
          <t>n/a</t>
        </is>
      </c>
      <c r="T160" s="16" t="inlineStr">
        <is>
          <t>Ueber Website https://www.bitstone.capital/ ; Am Kabellager 11, 51063 Koeln</t>
        </is>
      </c>
      <c r="U160" s="16" t="inlineStr">
        <is>
          <t>Stage und Geo passen (deutscher Seed-bis-Series-A-Investor), aber der Fonds ist ein reiner PropTech-/ConTech-Spezialist ohne AI- oder Data-Infrastruktur-Mandat. Thesen-Mismatch ueberwiegt deutlich.</t>
        </is>
      </c>
      <c r="V160" s="16" t="inlineStr">
        <is>
          <t>Enger Immobilien-/Bau-Sektorfokus als faktisches Ausschlusskriterium; sehr kleines Team und Portfolio; keine oeffentlichen Angaben zu Fondsgroesse, Ticket und Dry Powder</t>
        </is>
      </c>
      <c r="W160" s="16" t="inlineStr">
        <is>
          <t>Nur mit einem konkreten ConTech-Anwendungsfall ansprechen, etwa Annotation von Bauplaenen, Baustellenbildern oder BIM-Daten fuer die Portfoliounternehmen.</t>
        </is>
      </c>
      <c r="X160" s="18" t="n">
        <v>24</v>
      </c>
      <c r="Y160" s="18" t="n">
        <v>5</v>
      </c>
      <c r="Z160" s="18" t="n">
        <v>3</v>
      </c>
      <c r="AA160" s="18" t="n">
        <v>5</v>
      </c>
      <c r="AB160" s="18" t="n">
        <v>10</v>
      </c>
      <c r="AC160" s="15" t="inlineStr">
        <is>
          <t>Mittel</t>
        </is>
      </c>
      <c r="AD160" s="15" t="inlineStr">
        <is>
          <t>Bestandsliste</t>
        </is>
      </c>
      <c r="AE160" s="16" t="inlineStr">
        <is>
          <t>https://www.bitstone.capital/</t>
        </is>
      </c>
      <c r="AF160" s="16" t="inlineStr">
        <is>
          <t>https://www.bitstone.capital/?lang=en, https://tracxn.com/d/venture-capital/bitstonecapital/__4SvLTO8lMj6E0yWrXFPb17biD6Q18isz2LW4kmqOrSM, https://www.crunchbase.com/organization/bitstone-capital, https://www.theproptechscout.com/listing/bitstone-capital/</t>
        </is>
      </c>
    </row>
    <row r="161">
      <c r="A161" s="24" t="n">
        <v>157</v>
      </c>
      <c r="B161" s="25" t="inlineStr">
        <is>
          <t>Blockwall</t>
        </is>
      </c>
      <c r="C161" s="26" t="inlineStr">
        <is>
          <t>C</t>
        </is>
      </c>
      <c r="D161" s="26" t="n">
        <v>47</v>
      </c>
      <c r="E161" s="15" t="inlineStr">
        <is>
          <t>Frankfurt am Main</t>
        </is>
      </c>
      <c r="F161" s="18" t="inlineStr">
        <is>
          <t>DE</t>
        </is>
      </c>
      <c r="G161" s="15" t="inlineStr">
        <is>
          <t>VC (Sektor-Spezialist Web3/Crypto)</t>
        </is>
      </c>
      <c r="H161" s="16" t="inlineStr">
        <is>
          <t>Pre-Seed, Seed</t>
        </is>
      </c>
      <c r="I161" s="15" t="inlineStr">
        <is>
          <t>Teilweise - Lead bei kleineren Web3-Fruehphasenrunden, sonst Co-Investor</t>
        </is>
      </c>
      <c r="J161" s="16" t="inlineStr">
        <is>
          <t>n/a</t>
        </is>
      </c>
      <c r="K161" s="16" t="inlineStr">
        <is>
          <t>n/a (gegruendet 2017, ca. 63 Investments)</t>
        </is>
      </c>
      <c r="L161" s="18" t="inlineStr">
        <is>
          <t>Nein</t>
        </is>
      </c>
      <c r="M161" s="16" t="inlineStr">
        <is>
          <t>Ausschliesslich Blockchain, Crypto und Web3: On-Chain-Finanzinfrastruktur, tokenisierte Assets, digitale Banken, Wallets und Protokolle</t>
        </is>
      </c>
      <c r="N161" s="16" t="inlineStr">
        <is>
          <t>Keine AI-/Data-Infrastruktur-Investments belegt; juengste Deals sind Kulipa (April 2026), Den, Spiko (tokenisierte Geldmarktfonds) und Blu (On-Chain-Digitalbank)</t>
        </is>
      </c>
      <c r="O161" s="16" t="inlineStr">
        <is>
          <t>Sehr gering: Krypto-Infrastruktur hat keinen Bezug zu Human-in-the-loop-Trainingsdaten</t>
        </is>
      </c>
      <c r="P161" s="16" t="inlineStr">
        <is>
          <t>Data-Infra-nah</t>
        </is>
      </c>
      <c r="Q161" s="16" t="inlineStr">
        <is>
          <t>n/a</t>
        </is>
      </c>
      <c r="R161" s="16" t="inlineStr">
        <is>
          <t>n/a</t>
        </is>
      </c>
      <c r="S161" s="16" t="inlineStr">
        <is>
          <t>n/a</t>
        </is>
      </c>
      <c r="T161" s="16" t="inlineStr">
        <is>
          <t>Ueber Website https://www.blockwall.vc/ ; Newsletter unter https://insights.blockwall.vc/</t>
        </is>
      </c>
      <c r="U161" s="16" t="inlineStr">
        <is>
          <t>Deutscher Pre-Seed-/Seed-Investor mit aktueller Deal-Aktivitaet (letztes Investment April 2026), aber vollstaendig auf Web3, Crypto und tokenisierte Finanzinfrastruktur spezialisiert - kein Anknuepfungspunkt zu Data Labeling.</t>
        </is>
      </c>
      <c r="V161" s="16" t="inlineStr">
        <is>
          <t>Reiner Krypto-/Web3-Fokus als Ausschlusskriterium; keine oeffentlichen Angaben zu Fondsgroesse und Ticket; Portfolio stark zyklusabhaengig vom Krypto-Markt</t>
        </is>
      </c>
      <c r="W161" s="16" t="inlineStr">
        <is>
          <t>Kaum sinnvoll - allenfalls ueber dezentrale Datenmarktplaetze oder tokenbasierte Verguetung von Annotatoren als Crossover-These zwischen Web3 und Trainingsdaten.</t>
        </is>
      </c>
      <c r="X161" s="18" t="n">
        <v>24</v>
      </c>
      <c r="Y161" s="18" t="n">
        <v>4</v>
      </c>
      <c r="Z161" s="18" t="n">
        <v>3</v>
      </c>
      <c r="AA161" s="18" t="n">
        <v>7</v>
      </c>
      <c r="AB161" s="18" t="n">
        <v>9</v>
      </c>
      <c r="AC161" s="15" t="inlineStr">
        <is>
          <t>Mittel</t>
        </is>
      </c>
      <c r="AD161" s="15" t="inlineStr">
        <is>
          <t>Bestandsliste</t>
        </is>
      </c>
      <c r="AE161" s="16" t="inlineStr">
        <is>
          <t>https://www.blockwall.vc/</t>
        </is>
      </c>
      <c r="AF161" s="16" t="inlineStr">
        <is>
          <t>https://www.blockwall.vc/, https://www.blockwall.vc/portfolio, https://www.crunchbase.com/organization/blockwall-management-gmbh, https://crypto-fundraising.info/funds/blockwall/</t>
        </is>
      </c>
    </row>
    <row r="162">
      <c r="A162" s="24" t="n">
        <v>158</v>
      </c>
      <c r="B162" s="25" t="inlineStr">
        <is>
          <t>Boehringer Ingelheim Venture Fund</t>
        </is>
      </c>
      <c r="C162" s="26" t="inlineStr">
        <is>
          <t>C</t>
        </is>
      </c>
      <c r="D162" s="26" t="n">
        <v>46</v>
      </c>
      <c r="E162" s="15" t="inlineStr">
        <is>
          <t>Ingelheim am Rhein</t>
        </is>
      </c>
      <c r="F162" s="18" t="inlineStr">
        <is>
          <t>DE</t>
        </is>
      </c>
      <c r="G162" s="15" t="inlineStr">
        <is>
          <t>Corporate VC</t>
        </is>
      </c>
      <c r="H162" s="16" t="inlineStr">
        <is>
          <t>Seed, Series A (Follow-ons bis Series B)</t>
        </is>
      </c>
      <c r="I162" s="15" t="inlineStr">
        <is>
          <t>Ja, fuehrt Runden von Seed bis Series B an</t>
        </is>
      </c>
      <c r="J162" s="16" t="inlineStr">
        <is>
          <t>ca. 3 - 30 Mio. USD</t>
        </is>
      </c>
      <c r="K162" s="16" t="inlineStr">
        <is>
          <t>Evergreen-Fonds, Kapitalpool zuletzt auf ca. 250 - 350 Mio. EUR erhoeht</t>
        </is>
      </c>
      <c r="L162" s="18" t="inlineStr">
        <is>
          <t>Nein</t>
        </is>
      </c>
      <c r="M162" s="16" t="inlineStr">
        <is>
          <t>Biopharma und Life Sciences: Onkologie, Regenerative Medizin, Autoimmunerkrankungen, Infektionskrankheiten, digitale Therapeutika; praeklinische Assets und Plattformen</t>
        </is>
      </c>
      <c r="N162" s="16" t="inlineStr">
        <is>
          <t>AI-Beruehrungspunkte nur im Drug-Discovery-Kontext; keine horizontalen Data-Infra- oder MLOps-Investments belegt</t>
        </is>
      </c>
      <c r="O162" s="16" t="inlineStr">
        <is>
          <t>Keine Relevanz ausserhalb biomedizinischer Datenplattformen</t>
        </is>
      </c>
      <c r="P162" s="16" t="inlineStr">
        <is>
          <t>Data-Infra-nah</t>
        </is>
      </c>
      <c r="Q162" s="16" t="inlineStr">
        <is>
          <t>n/a</t>
        </is>
      </c>
      <c r="R162" s="16" t="inlineStr">
        <is>
          <t>n/a</t>
        </is>
      </c>
      <c r="S162" s="16" t="inlineStr">
        <is>
          <t>n/a</t>
        </is>
      </c>
      <c r="T162" s="16" t="inlineStr">
        <is>
          <t>Kontaktformular auf boehringer-ingelheim-venture.com</t>
        </is>
      </c>
      <c r="U162" s="16" t="inlineStr">
        <is>
          <t>Stage und Ticketgroesse passen formal, aber der Fonds investiert ausschliesslich in Biopharma und Life Sciences und hat keinerlei Mandat fuer horizontale Data-Infrastruktur.</t>
        </is>
      </c>
      <c r="V162" s="16" t="inlineStr">
        <is>
          <t>Sektormandat schliesst B2B-Data-Infrastruktur faktisch aus; strategische Bindung an Boehringer-Pipeline</t>
        </is>
      </c>
      <c r="W162" s="16" t="inlineStr">
        <is>
          <t>Nur sinnvoll, falls PathWize eine dedizierte Vertikale fuer biomedizinische bzw. klinische Datenannotation aufbaut und diese als Kernnutzen fuer Boehringer positioniert.</t>
        </is>
      </c>
      <c r="X162" s="18" t="n">
        <v>22</v>
      </c>
      <c r="Y162" s="18" t="n">
        <v>4</v>
      </c>
      <c r="Z162" s="18" t="n">
        <v>3</v>
      </c>
      <c r="AA162" s="18" t="n">
        <v>7</v>
      </c>
      <c r="AB162" s="18" t="n">
        <v>10</v>
      </c>
      <c r="AC162" s="18" t="inlineStr">
        <is>
          <t>Hoch</t>
        </is>
      </c>
      <c r="AD162" s="15" t="inlineStr">
        <is>
          <t>Bestandsliste</t>
        </is>
      </c>
      <c r="AE162" s="16" t="inlineStr">
        <is>
          <t>https://www.boehringer-ingelheim-venture.com/</t>
        </is>
      </c>
      <c r="AF162" s="16" t="inlineStr">
        <is>
          <t>https://www.boehringer-ingelheim-venture.com/about-us, https://www.boehringer-ingelheim.com/science-innovation/human-health-innovation/bivf-funding-more-doubled-250-meu, https://www.crunchbase.com/organization/boehringer-ingelheim-venture-fund</t>
        </is>
      </c>
    </row>
    <row r="163">
      <c r="A163" s="24" t="n">
        <v>159</v>
      </c>
      <c r="B163" s="25" t="inlineStr">
        <is>
          <t>DX Ventures (heute: Delivery Hero Ventures)</t>
        </is>
      </c>
      <c r="C163" s="26" t="inlineStr">
        <is>
          <t>C</t>
        </is>
      </c>
      <c r="D163" s="26" t="n">
        <v>46</v>
      </c>
      <c r="E163" s="15" t="inlineStr">
        <is>
          <t>Berlin</t>
        </is>
      </c>
      <c r="F163" s="15" t="inlineStr">
        <is>
          <t>Deutschland</t>
        </is>
      </c>
      <c r="G163" s="15" t="inlineStr">
        <is>
          <t>Corporate VC (CVC von Delivery Hero SE, operativ unabhängig gemanagt)</t>
        </is>
      </c>
      <c r="H163" s="16" t="inlineStr">
        <is>
          <t>Seed bis Series B</t>
        </is>
      </c>
      <c r="I163" s="15" t="inlineStr">
        <is>
          <t>Teilweise - überwiegend Co-Investor, gelegentlich Lead</t>
        </is>
      </c>
      <c r="J163" s="16" t="inlineStr">
        <is>
          <t>durchschnittlich ca. 5 Mio. USD</t>
        </is>
      </c>
      <c r="K163" s="16" t="inlineStr">
        <is>
          <t>ca. 50 Mio. EUR Startkapital (2021, rund 60 Mio. USD), vollständig von Delivery Hero SE finanziert</t>
        </is>
      </c>
      <c r="L163" s="15" t="inlineStr">
        <is>
          <t>Teilweise</t>
        </is>
      </c>
      <c r="M163" s="16" t="inlineStr">
        <is>
          <t>Breites Mandat mit Schwerpunkt On-Demand-Services, Food Tech, Q-Commerce, Logistik, Nachhaltigkeit, FinTech - Artificial Intelligence wird im Mandat explizit genannt. Global investierend, Deal-Flow stark aus dem Delivery-Hero-Ökosystem.</t>
        </is>
      </c>
      <c r="N163" s="16" t="inlineStr">
        <is>
          <t>Kein belegbares reines AI-/Data-Infrastruktur-Portfolio. Bekannte Investments: Glovo, Rappi, Impossible Foods, Ola, Toku, OneOrder - überwiegend Marktplätze, Food/Delivery und Vertical SaaS. AI eher als Anwendungsebene in Portfoliofirmen.</t>
        </is>
      </c>
      <c r="O163" s="16" t="inlineStr">
        <is>
          <t>Gering bis mittel. Ein horizontaler Data-Labeling-Anbieter passt nicht zur Delivery-/On-Demand-Kernthese. Relevanz entstünde nur über einen konkreten strategischen Nutzen für Delivery Hero (z. B. Annotation von Produkt-/Menü-/Bilddaten, Katalog-Enrichment, Vision-Daten für Rider-/Logistik-Modelle).</t>
        </is>
      </c>
      <c r="P163" s="16" t="inlineStr">
        <is>
          <t>Data-Infra-nah</t>
        </is>
      </c>
      <c r="Q163" s="16" t="inlineStr">
        <is>
          <t>Duncan McIntyre</t>
        </is>
      </c>
      <c r="R163" s="16" t="inlineStr">
        <is>
          <t>Managing Director / Fondsleitung (seit 2014 bei Delivery Hero, zuvor 30+ M&amp;A-Transaktionen verantwortet)</t>
        </is>
      </c>
      <c r="S163" s="16" t="inlineStr">
        <is>
          <t>n/a</t>
        </is>
      </c>
      <c r="T163" s="16" t="inlineStr">
        <is>
          <t>Über https://dhventures.vc/ (Website antwortet auf automatisierte Abrufe mit 403); alternativ Delivery Hero SE, Berlin</t>
        </is>
      </c>
      <c r="U163" s="16" t="inlineStr">
        <is>
          <t>Berliner Standort und Seed-/Series-A-Fähigkeit passen grundsätzlich, und AI wird im Mandat genannt. Der reale Deal-Flow und das Portfolio sind aber klar auf Food Delivery, Q-Commerce, On-Demand und Logistik konzentriert. Als Corporate VC ist der Investmentcase strategisch getrieben - ein horizontales Data-Labeling-Produkt ohne konkreten Delivery-Hero-Bezug hat wenig Traktion. Pre-Seed liegt zudem unter der typischen Ticketgröße von rund 5 Mio. USD.</t>
        </is>
      </c>
      <c r="V163" s="16" t="inlineStr">
        <is>
          <t>Rebranding von DX Ventures zu Delivery Hero Ventures; alte Domain dxventures.com ist geparkt und wird zum Verkauf angeboten - Namens-/Markenwechsel prüfen. Corporate-VC-Abhängigkeit von der Delivery-Hero-Bilanz (das Unternehmen stand zuletzt unter Kostendruck), damit Unsicherheit über die Fortführung des Fondsmandats. Kein eigenständiger LP-Fonds. Strategische Investoren können bei späteren Runden signalisch belastend wirken.</t>
        </is>
      </c>
      <c r="W163" s="16" t="inlineStr">
        <is>
          <t>Nur mit strategischem Aufhänger ansprechen: annotierte Trainingsdaten für Produktkataloge, Bild-/Menü-Erkennung, Adress- und Routing-Daten oder Qualitätskontrolle in Delivery-Operations. Idealer Weg über eine warme Einführung aus dem Delivery-Hero-Umfeld an Duncan McIntyre. Für die reine Kapitalbeschaffung im Pre-Seed/Seed ist der Fonds nachrangig.</t>
        </is>
      </c>
      <c r="X163" s="18" t="n">
        <v>20</v>
      </c>
      <c r="Y163" s="18" t="n">
        <v>8</v>
      </c>
      <c r="Z163" s="18" t="n">
        <v>4</v>
      </c>
      <c r="AA163" s="18" t="n">
        <v>5</v>
      </c>
      <c r="AB163" s="18" t="n">
        <v>9</v>
      </c>
      <c r="AC163" s="15" t="inlineStr">
        <is>
          <t>Mittel</t>
        </is>
      </c>
      <c r="AD163" s="15" t="inlineStr">
        <is>
          <t>Bestandsliste</t>
        </is>
      </c>
      <c r="AE163" s="16" t="inlineStr">
        <is>
          <t>https://dhventures.vc/ (frühere Domain dxventures.com ist geparkt/zum Verkauf)</t>
        </is>
      </c>
      <c r="AF163" s="16" t="inlineStr">
        <is>
          <t>https://www.deliveryhero.com/newsroom/delivery-hero-launches-venture-capital-fund-dx-ventures/ ; https://dhventures.vc/ ; https://www.crunchbase.com/organization/dx-ventures ; https://www.menabytes.com/delivery-hero-dx-ventures/ ; https://tracxn.com/d/venture-capital/delivery-hero-ventures</t>
        </is>
      </c>
    </row>
    <row r="164">
      <c r="A164" s="24" t="n">
        <v>160</v>
      </c>
      <c r="B164" s="25" t="inlineStr">
        <is>
          <t>Munich Venture Partners</t>
        </is>
      </c>
      <c r="C164" s="26" t="inlineStr">
        <is>
          <t>C</t>
        </is>
      </c>
      <c r="D164" s="26" t="n">
        <v>46</v>
      </c>
      <c r="E164" s="15" t="inlineStr">
        <is>
          <t>München</t>
        </is>
      </c>
      <c r="F164" s="15" t="inlineStr">
        <is>
          <t>Deutschland</t>
        </is>
      </c>
      <c r="G164" s="18" t="inlineStr">
        <is>
          <t>VC</t>
        </is>
      </c>
      <c r="H164" s="16" t="inlineStr">
        <is>
          <t>Seed, Series A, Series B (Fokus auf Frühphase mit Follow-on-Kapazität)</t>
        </is>
      </c>
      <c r="I164" s="15" t="inlineStr">
        <is>
          <t>Ja (führt in ihren Kernsektoren Runden an)</t>
        </is>
      </c>
      <c r="J164" s="16" t="inlineStr">
        <is>
          <t>n/a</t>
        </is>
      </c>
      <c r="K164" s="16" t="inlineStr">
        <is>
          <t>ca. 196 Mio. EUR AUM</t>
        </is>
      </c>
      <c r="L164" s="18" t="inlineStr">
        <is>
          <t>Nein</t>
        </is>
      </c>
      <c r="M164" s="16" t="inlineStr">
        <is>
          <t>Eco-Industrial Revolution: Industrial Tech, Energy Transition, Mobility &amp; Logistics, Agriculture &amp; Foodtech; Dekarbonisierung und Digitalisierung emissionsintensiver Industrien</t>
        </is>
      </c>
      <c r="N164" s="16" t="inlineStr">
        <is>
          <t>Kein belegtes AI-/Data-Infra-Investment; Portfolio umfasst Electrochaea, GreenCom Networks (Energie-IoT), Prolupin, Luxexcel, Kebony; Exits: sonnen (an Shell), relayr, Proximetry</t>
        </is>
      </c>
      <c r="O164" s="16" t="inlineStr">
        <is>
          <t>Sehr gering — kein Bezug zu Trainingsdaten, Annotation oder ML-Infrastruktur; Digitalisierung wird nur als Mittel zur Dekarbonisierung gedacht</t>
        </is>
      </c>
      <c r="P164" s="16" t="inlineStr">
        <is>
          <t>Data-Infra-nah</t>
        </is>
      </c>
      <c r="Q164" s="16" t="inlineStr">
        <is>
          <t>Walter Grassl</t>
        </is>
      </c>
      <c r="R164" s="16" t="inlineStr">
        <is>
          <t>Founder &amp; Partner (IT-Hintergrund, PhD Informatik) — technisch anschlussfähigster Ansprechpartner im Team</t>
        </is>
      </c>
      <c r="S164" s="16" t="inlineStr">
        <is>
          <t>n/a</t>
        </is>
      </c>
      <c r="T164" s="16" t="inlineStr">
        <is>
          <t>info@munichvp.com; Telefon +49 151 46481058</t>
        </is>
      </c>
      <c r="U164" s="16" t="inlineStr">
        <is>
          <t>Stage und Geografie passen, aber die These ist reiner Climate-/Industrial-Tech-Fokus ohne jeden AI- oder Data-Infrastruktur-Anker. Im Portfolio findet sich kein einziges Software-, MLOps- oder Trainingsdaten-Investment.</t>
        </is>
      </c>
      <c r="V164" s="16" t="inlineStr">
        <is>
          <t>Klimafonds ohne AI-These; keine aktuellen Investments öffentlich belegbar; kein Ticket-Size-Range publiziert; Fondsgröße von 196 Mio. EUR verteilt auf 24 Portfoliofirmen deutet auf begrenztes verfügbares Dry Powder hin</t>
        </is>
      </c>
      <c r="W164" s="16" t="inlineStr">
        <is>
          <t>Nur sinnvoll mit einem industriellen Framing: PathWize als Lieferant annotierter Sensor- und Produktionsdaten für Industrial-AI-Anwendungen in ihren Portfoliofirmen — ansonsten nicht priorisieren.</t>
        </is>
      </c>
      <c r="X164" s="18" t="n">
        <v>20</v>
      </c>
      <c r="Y164" s="18" t="n">
        <v>8</v>
      </c>
      <c r="Z164" s="18" t="n">
        <v>3</v>
      </c>
      <c r="AA164" s="18" t="n">
        <v>5</v>
      </c>
      <c r="AB164" s="18" t="n">
        <v>10</v>
      </c>
      <c r="AC164" s="15" t="inlineStr">
        <is>
          <t>Mittel</t>
        </is>
      </c>
      <c r="AD164" s="15" t="inlineStr">
        <is>
          <t>Bestandsliste</t>
        </is>
      </c>
      <c r="AE164" s="16" t="inlineStr">
        <is>
          <t>https://munichvp.com/</t>
        </is>
      </c>
      <c r="AF164" s="16" t="inlineStr">
        <is>
          <t>https://munichvp.com/, https://www.munich-startup.de/en/116527/new-funds-new-opportunities/</t>
        </is>
      </c>
    </row>
    <row r="165">
      <c r="A165" s="24" t="n">
        <v>161</v>
      </c>
      <c r="B165" s="25" t="inlineStr">
        <is>
          <t>TAKKT Beteiligungen</t>
        </is>
      </c>
      <c r="C165" s="26" t="inlineStr">
        <is>
          <t>C</t>
        </is>
      </c>
      <c r="D165" s="26" t="n">
        <v>46</v>
      </c>
      <c r="E165" s="15" t="inlineStr">
        <is>
          <t>Stuttgart</t>
        </is>
      </c>
      <c r="F165" s="18" t="inlineStr">
        <is>
          <t>DE</t>
        </is>
      </c>
      <c r="G165" s="15" t="inlineStr">
        <is>
          <t>Corporate VC (TAKKT Beteiligungsgesellschaft mbH, 100-Prozent-Tochter der TAKKT AG)</t>
        </is>
      </c>
      <c r="H165" s="16" t="inlineStr">
        <is>
          <t>Seed, Series A, Series B und darueber hinaus</t>
        </is>
      </c>
      <c r="I165" s="15" t="inlineStr">
        <is>
          <t>Nein bis selten (agiert ueberwiegend als Co-Investor neben VC-Fonds)</t>
        </is>
      </c>
      <c r="J165" s="16" t="inlineStr">
        <is>
          <t>EUR 250k bis 3 Mio. pro Investment, in Einzelfaellen mehr</t>
        </is>
      </c>
      <c r="K165" s="16" t="inlineStr">
        <is>
          <t>n/a (Bilanzinvestitionen der TAKKT AG, kein eigenstaendiges Fondsvolumen)</t>
        </is>
      </c>
      <c r="L165" s="18" t="inlineStr">
        <is>
          <t>Nein</t>
        </is>
      </c>
      <c r="M165" s="16" t="inlineStr">
        <is>
          <t>Technologie- und Servicemodelle, die die nachhaltige Transformation des B2B-(Versand-)Handels beschleunigen: Business Equipment, Supplies, Circular Economy, innovativer Versandhandel</t>
        </is>
      </c>
      <c r="N165" s="16" t="inlineStr">
        <is>
          <t>n/a (keine belegten AI- oder Data-Infrastruktur-Investments)</t>
        </is>
      </c>
      <c r="O165" s="16" t="inlineStr">
        <is>
          <t>Gering: Strategischer Corporate-Fokus auf B2B-Handel, kein Bezug zu Trainingsdaten oder ML-Infrastruktur</t>
        </is>
      </c>
      <c r="P165" s="16" t="inlineStr">
        <is>
          <t>Data-Infra-nah</t>
        </is>
      </c>
      <c r="Q165" s="16" t="inlineStr">
        <is>
          <t>n/a</t>
        </is>
      </c>
      <c r="R165" s="16" t="inlineStr">
        <is>
          <t>n/a</t>
        </is>
      </c>
      <c r="S165" s="16" t="inlineStr">
        <is>
          <t>n/a</t>
        </is>
      </c>
      <c r="T165" s="16" t="inlineStr">
        <is>
          <t>Kontaktseite unter https://www.takkt.de/en/about-takkt/venture-capital/contact</t>
        </is>
      </c>
      <c r="U165" s="16" t="inlineStr">
        <is>
          <t>Corporate VC mit passender Ticketgroesse (EUR 250k bis 3 Mio.) und Seed-Bereitschaft, aber die These ist strikt auf die Transformation des B2B-Versandhandels begrenzt - PathWize hat keinen strategischen Anknuepfungspunkt.</t>
        </is>
      </c>
      <c r="V165" s="16" t="inlineStr">
        <is>
          <t>Strategisch getriebener Corporate-Investor mit engem Kerngeschaeftsbezug; kein Tech-/AI-Track-Record; Bilanzinvestitionen abhaengig von der Ergebnislage der TAKKT AG</t>
        </is>
      </c>
      <c r="W165" s="16" t="inlineStr">
        <is>
          <t>Nur sinnvoll, wenn PathWize einen konkreten Use Case im B2B-Handel vorweist, etwa Produktdaten-Annotation und Katalog-Klassifikation fuer TAKKT-Vertriebsmarken.</t>
        </is>
      </c>
      <c r="X165" s="18" t="n">
        <v>20</v>
      </c>
      <c r="Y165" s="18" t="n">
        <v>8</v>
      </c>
      <c r="Z165" s="18" t="n">
        <v>3</v>
      </c>
      <c r="AA165" s="18" t="n">
        <v>6</v>
      </c>
      <c r="AB165" s="18" t="n">
        <v>9</v>
      </c>
      <c r="AC165" s="15" t="inlineStr">
        <is>
          <t>Mittel</t>
        </is>
      </c>
      <c r="AD165" s="15" t="inlineStr">
        <is>
          <t>Bestandsliste</t>
        </is>
      </c>
      <c r="AE165" s="16" t="inlineStr">
        <is>
          <t>https://www.takkt.de/en/about-takkt/venture-capital/why-takkt-venture-capital</t>
        </is>
      </c>
      <c r="AF165" s="16" t="inlineStr">
        <is>
          <t>https://www.takkt.de/en/about-takkt/venture-capital/investment-criteria, https://www.takkt.de/en/about-takkt/venture-capital/why-takkt-venture-capital, https://www.crunchbase.com/organization/takkt-beteiligungsgesellschaft, https://www.linkedin.com/company/takktbg</t>
        </is>
      </c>
    </row>
    <row r="166">
      <c r="A166" s="24" t="n">
        <v>162</v>
      </c>
      <c r="B166" s="25" t="inlineStr">
        <is>
          <t>Apollo Health Ventures</t>
        </is>
      </c>
      <c r="C166" s="26" t="inlineStr">
        <is>
          <t>C</t>
        </is>
      </c>
      <c r="D166" s="26" t="n">
        <v>45</v>
      </c>
      <c r="E166" s="15" t="inlineStr">
        <is>
          <t>Berlin (US-Hub Boston/Cambridge)</t>
        </is>
      </c>
      <c r="F166" s="18" t="inlineStr">
        <is>
          <t>DE</t>
        </is>
      </c>
      <c r="G166" s="15" t="inlineStr">
        <is>
          <t>VC (Sektor-Spezialist Life Sciences)</t>
        </is>
      </c>
      <c r="H166" s="16" t="inlineStr">
        <is>
          <t>Pre-Seed, Seed, Series A (haeufig Company-Building / Co-Founding)</t>
        </is>
      </c>
      <c r="I166" s="15" t="inlineStr">
        <is>
          <t>Ja - fuehrt Seed-Runden an und gruendet Portfoliounternehmen mit</t>
        </is>
      </c>
      <c r="J166" s="16" t="inlineStr">
        <is>
          <t>n/a (Seed-Runden im Schnitt ca. 9,7 Mio. USD, Series A ca. 34 Mio. USD Gesamtrundengroesse)</t>
        </is>
      </c>
      <c r="K166" s="16" t="inlineStr">
        <is>
          <t>Fund II: 180 Mio. USD</t>
        </is>
      </c>
      <c r="L166" s="18" t="inlineStr">
        <is>
          <t>Nein</t>
        </is>
      </c>
      <c r="M166" s="16" t="inlineStr">
        <is>
          <t>Ausschliesslich Longevity/Healthspan: Biotech und Therapeutika gegen altersbedingte Erkrankungen und den Alterungsprozess selbst; aktives Venture-Building mit Wissenschaftlern</t>
        </is>
      </c>
      <c r="N166" s="16" t="inlineStr">
        <is>
          <t>Keine belegten AI-/Data-Infrastruktur-Investments; Portfolio ist therapeutisch (Auron Therapeutics, HAYA Therapeutics, Cleara Biotech, Cognito Therapeutics, Aeovian Pharmaceuticals)</t>
        </is>
      </c>
      <c r="O166" s="16" t="inlineStr">
        <is>
          <t>Sehr gering - allenfalls indirekt ueber biologische Datenauswertung in Portfoliounternehmen</t>
        </is>
      </c>
      <c r="P166" s="16" t="inlineStr">
        <is>
          <t>Data-Infra-nah</t>
        </is>
      </c>
      <c r="Q166" s="16" t="inlineStr">
        <is>
          <t>n/a (kein Partner mit AI-/Data-Infra-Fokus auffindbar)</t>
        </is>
      </c>
      <c r="R166" s="16" t="inlineStr">
        <is>
          <t>n/a</t>
        </is>
      </c>
      <c r="S166" s="16" t="inlineStr">
        <is>
          <t>n/a</t>
        </is>
      </c>
      <c r="T166" s="16" t="inlineStr">
        <is>
          <t>Kontaktformular auf https://www.apollo.vc/</t>
        </is>
      </c>
      <c r="U166" s="16" t="inlineStr">
        <is>
          <t>Stage und Standort Berlin passen, aber der Fonds investiert ausschliesslich in Longevity-Biotech und Therapeutika - eine horizontale Data-Labeling-Plattform faellt komplett aus dem Mandat. Kein einziges belegtes AI-/Data-Infra-Investment.</t>
        </is>
      </c>
      <c r="V166" s="16" t="inlineStr">
        <is>
          <t>Reiner Life-Sciences-/Longevity-Fokus, kein Software-Mandat; Company-Building-Modell bevorzugt selbst mitgegruendete Unternehmen gegenueber externem Dealflow</t>
        </is>
      </c>
      <c r="W166" s="16" t="inlineStr">
        <is>
          <t>Nur sinnvoll, wenn PathWize einen konkreten Biotech-/Life-Science-Anwendungsfall (z.B. Annotation biomedizinischer Bild- oder Omics-Daten) als eigenstaendige Vertical-Story vorlegt.</t>
        </is>
      </c>
      <c r="X166" s="18" t="n">
        <v>24</v>
      </c>
      <c r="Y166" s="18" t="n">
        <v>3</v>
      </c>
      <c r="Z166" s="18" t="n">
        <v>2</v>
      </c>
      <c r="AA166" s="18" t="n">
        <v>7</v>
      </c>
      <c r="AB166" s="18" t="n">
        <v>9</v>
      </c>
      <c r="AC166" s="18" t="inlineStr">
        <is>
          <t>Hoch</t>
        </is>
      </c>
      <c r="AD166" s="15" t="inlineStr">
        <is>
          <t>Bestandsliste</t>
        </is>
      </c>
      <c r="AE166" s="16" t="inlineStr">
        <is>
          <t>https://www.apollo.vc/</t>
        </is>
      </c>
      <c r="AF166" s="16" t="inlineStr">
        <is>
          <t>https://www.apollo.vc/, https://www.apollo.vc/news/apollo-closes-180-million-fund, https://www.crunchbase.com/organization/apollo-health-ventures, https://www.fiercebiotech.com/biotech/apollo-s-mission-to-extend-human-health-span-gets-180m-boost-giving-vc-fund-a-launchpad-for</t>
        </is>
      </c>
    </row>
    <row r="167">
      <c r="A167" s="24" t="n">
        <v>163</v>
      </c>
      <c r="B167" s="25" t="inlineStr">
        <is>
          <t>Media Ventures</t>
        </is>
      </c>
      <c r="C167" s="26" t="inlineStr">
        <is>
          <t>C</t>
        </is>
      </c>
      <c r="D167" s="26" t="n">
        <v>45</v>
      </c>
      <c r="E167" s="18" t="inlineStr">
        <is>
          <t>Koeln</t>
        </is>
      </c>
      <c r="F167" s="15" t="inlineStr">
        <is>
          <t>Deutschland</t>
        </is>
      </c>
      <c r="G167" s="15" t="inlineStr">
        <is>
          <t>VC / Family Office (Umfeld Familie Stroeer)</t>
        </is>
      </c>
      <c r="H167" s="16" t="inlineStr">
        <is>
          <t>Start-up bis Wachstum und Reife - formal Pre-Seed bis Growth</t>
        </is>
      </c>
      <c r="I167" s="18" t="inlineStr">
        <is>
          <t>n/a</t>
        </is>
      </c>
      <c r="J167" s="16" t="inlineStr">
        <is>
          <t>n/a</t>
        </is>
      </c>
      <c r="K167" s="16" t="inlineStr">
        <is>
          <t>n/a (Evergreen-Struktur; ca. 59 Beteiligungen historisch)</t>
        </is>
      </c>
      <c r="L167" s="18" t="inlineStr">
        <is>
          <t>Nein</t>
        </is>
      </c>
      <c r="M167" s="16" t="inlineStr">
        <is>
          <t>Branchenagnostisch mit Schwerpunkt Medien, Telekommunikation, IT und E-Commerce in Europa/Deutschland. Seit 2016 zusaetzlich Immobilienprojekte.</t>
        </is>
      </c>
      <c r="N167" s="16" t="inlineStr">
        <is>
          <t>Kein belegtes AI-/Data-Infra-Investment auffindbar.</t>
        </is>
      </c>
      <c r="O167" s="16" t="inlineStr">
        <is>
          <t>Gering - Medien- und Commerce-Fokus ohne technische Infrastrukturthese.</t>
        </is>
      </c>
      <c r="P167" s="16" t="inlineStr">
        <is>
          <t>Data-Infra-nah</t>
        </is>
      </c>
      <c r="Q167" s="16" t="inlineStr">
        <is>
          <t>Dirk Stroeer / Stefan Petter</t>
        </is>
      </c>
      <c r="R167" s="16" t="inlineStr">
        <is>
          <t>Geschaeftsfuehrer der Media Ventures GmbH</t>
        </is>
      </c>
      <c r="S167" s="16" t="inlineStr">
        <is>
          <t>n/a</t>
        </is>
      </c>
      <c r="T167" s="16" t="inlineStr">
        <is>
          <t>Kontakt ueber mediaventures.de (Impressum); E-Mail n/a</t>
        </is>
      </c>
      <c r="U167" s="16" t="inlineStr">
        <is>
          <t>Deutscher Evergreen-Investor mit breiter Stage-Spanne, aber Medien-/E-Commerce-Schwerpunkt, teils Immobiliengeschaeft und keinerlei belegte AI- oder Data-Infra-Aktivitaet.</t>
        </is>
      </c>
      <c r="V167" s="16" t="inlineStr">
        <is>
          <t>Sehr intransparent (keine Angaben zu Ticket, Volumen, aktueller Aktivitaet); juengste oeffentliche Portfoliodaten stammen aus 2017; Diversifikation in Immobilien.</t>
        </is>
      </c>
      <c r="W167" s="16" t="inlineStr">
        <is>
          <t>Nur ueber einen Medien-Use-Case: Annotation und Qualitaetssicherung von Content-, Bild- und Werbedaten fuer Medien- und AdTech-Unternehmen im Stroeer-Umfeld.</t>
        </is>
      </c>
      <c r="X167" s="18" t="n">
        <v>20</v>
      </c>
      <c r="Y167" s="18" t="n">
        <v>8</v>
      </c>
      <c r="Z167" s="18" t="n">
        <v>4</v>
      </c>
      <c r="AA167" s="18" t="n">
        <v>4</v>
      </c>
      <c r="AB167" s="18" t="n">
        <v>9</v>
      </c>
      <c r="AC167" s="15" t="inlineStr">
        <is>
          <t>Niedrig</t>
        </is>
      </c>
      <c r="AD167" s="15" t="inlineStr">
        <is>
          <t>Bestandsliste</t>
        </is>
      </c>
      <c r="AE167" s="16" t="inlineStr">
        <is>
          <t>https://mediaventures.de/</t>
        </is>
      </c>
      <c r="AF167" s="16" t="inlineStr">
        <is>
          <t>https://mediaventures.de/, https://mediaventures.de/index.php/imprint.html, https://www.crunchbase.com/organization/media-ventures, https://www.startbase.com/organization/media-ventures/</t>
        </is>
      </c>
    </row>
    <row r="168">
      <c r="A168" s="24" t="n">
        <v>164</v>
      </c>
      <c r="B168" s="25" t="inlineStr">
        <is>
          <t>Round2 Capital</t>
        </is>
      </c>
      <c r="C168" s="26" t="inlineStr">
        <is>
          <t>C</t>
        </is>
      </c>
      <c r="D168" s="26" t="n">
        <v>45</v>
      </c>
      <c r="E168" s="18" t="inlineStr">
        <is>
          <t>Wien</t>
        </is>
      </c>
      <c r="F168" s="15" t="inlineStr">
        <is>
          <t>Oesterreich</t>
        </is>
      </c>
      <c r="G168" s="15" t="inlineStr">
        <is>
          <t>Revenue-Based-Financing / Growth-Debt-Anbieter (kein klassischer Equity-VC)</t>
        </is>
      </c>
      <c r="H168" s="16" t="inlineStr">
        <is>
          <t>Wachstumsphase - Softwareunternehmen mit wiederkehrenden Umsaetzen (kein Pre-Seed/Seed)</t>
        </is>
      </c>
      <c r="I168" s="15" t="inlineStr">
        <is>
          <t>Teilweise (fuehrt eigene Finanzierungen an, z.B. USD 20 Mio. in EvoluteIQ - aber als nicht-verwaessernde Finanzierung, nicht als Equity-Lead)</t>
        </is>
      </c>
      <c r="J168" s="16" t="inlineStr">
        <is>
          <t>Sieben-stellige EUR-Betraege pro Transaktion (Beispiele: 7-stellig bei PreciTaste, Friendsurance, Nect; bis USD 20 Mio. bei EvoluteIQ)</t>
        </is>
      </c>
      <c r="K168" s="16" t="inlineStr">
        <is>
          <t>n/a (nicht ausgewiesen); ueber 30 Portfoliounternehmen europaweit, gegruendet 2017</t>
        </is>
      </c>
      <c r="L168" s="15" t="inlineStr">
        <is>
          <t>Teilweise</t>
        </is>
      </c>
      <c r="M168" s="16" t="inlineStr">
        <is>
          <t>Europas fuehrender Anbieter von Revenue-Based Financing mit Royalties fuer Softwareunternehmen mit wiederkehrenden Umsaetzen - 'Grow, on your terms', ohne Verwaesserung.</t>
        </is>
      </c>
      <c r="N168" s="16" t="inlineStr">
        <is>
          <t>EvoluteIQ (AI-gestuetzte Prozessautomatisierung), PreciTaste (AI-Kuechenmanagement/Computer Vision), Nect (AI-Identitaetsverifikation), Testbirds (Crowdtesting - Human-in-the-loop-Modell!), Phyron (AI-Video), Avallain</t>
        </is>
      </c>
      <c r="O168" s="16" t="inlineStr">
        <is>
          <t>Mittel: Testbirds zeigt Verstaendnis fuer Crowd-/Human-in-the-loop-Geschaeftsmodelle, und mehrere AI-Companies im Buch - aber das Produkt (RBF) setzt bestehende wiederkehrende Umsaetze voraus.</t>
        </is>
      </c>
      <c r="P168" s="16" t="inlineStr">
        <is>
          <t>-</t>
        </is>
      </c>
      <c r="Q168" s="16" t="inlineStr">
        <is>
          <t>Jan Hillered</t>
        </is>
      </c>
      <c r="R168" s="16" t="inlineStr">
        <is>
          <t>Founder &amp; Managing Partner (weitere Managing Partners: Heinz Marx, Stefan Nagel, Isabella Hermann-Schoen, Gerd Sumah)</t>
        </is>
      </c>
      <c r="S168" s="16" t="inlineStr">
        <is>
          <t>n/a</t>
        </is>
      </c>
      <c r="T168" s="16" t="inlineStr">
        <is>
          <t>'Funding inquiry'-Formular auf https://round2cap.com, Kontaktseite https://round2cap.com/contact</t>
        </is>
      </c>
      <c r="U168" s="16" t="inlineStr">
        <is>
          <t>Round2 ist kein Equity-VC, sondern Revenue-Based-Financing fuer Softwarefirmen mit bestehenden wiederkehrenden Umsaetzen - fuer die von PathWize gesuchte Pre-Seed-/Seed-/Series-A-Eigenkapitalrunde ungeeignet.</t>
        </is>
      </c>
      <c r="V168" s="16" t="inlineStr">
        <is>
          <t>KO-Kriterium Stage/Instrument: kein Eigenkapital, Voraussetzung sind belastbare wiederkehrende Umsaetze (typisch ab ca. EUR 1 Mio. ARR); Royalty-Struktur belastet den Cashflow.</t>
        </is>
      </c>
      <c r="W168" s="16" t="inlineStr">
        <is>
          <t>Erst spaeter relevant: sobald PathWize wiederkehrende Labeling-/Plattformumsaetze hat, als verwaesserungsfreie Wachstumsfinanzierung neben der Equity-Runde ansprechen (Referenz: Testbirds als Human-in-the-loop-Case).</t>
        </is>
      </c>
      <c r="X168" s="18" t="n">
        <v>3</v>
      </c>
      <c r="Y168" s="18" t="n">
        <v>15</v>
      </c>
      <c r="Z168" s="18" t="n">
        <v>10</v>
      </c>
      <c r="AA168" s="18" t="n">
        <v>8</v>
      </c>
      <c r="AB168" s="18" t="n">
        <v>9</v>
      </c>
      <c r="AC168" s="18" t="inlineStr">
        <is>
          <t>Hoch</t>
        </is>
      </c>
      <c r="AD168" s="15" t="inlineStr">
        <is>
          <t>Bestandsliste</t>
        </is>
      </c>
      <c r="AE168" s="16" t="inlineStr">
        <is>
          <t>https://round2cap.com</t>
        </is>
      </c>
      <c r="AF168" s="16" t="inlineStr">
        <is>
          <t>https://round2cap.com/, https://round2cap.com/about/</t>
        </is>
      </c>
    </row>
    <row r="169">
      <c r="A169" s="24" t="n">
        <v>165</v>
      </c>
      <c r="B169" s="25" t="inlineStr">
        <is>
          <t>Saarländische Wagnisfinanzierungsgesellschaft mbH (SWG)</t>
        </is>
      </c>
      <c r="C169" s="26" t="inlineStr">
        <is>
          <t>C</t>
        </is>
      </c>
      <c r="D169" s="26" t="n">
        <v>45</v>
      </c>
      <c r="E169" s="15" t="inlineStr">
        <is>
          <t>Saarbrücken</t>
        </is>
      </c>
      <c r="F169" s="15" t="inlineStr">
        <is>
          <t>Deutschland</t>
        </is>
      </c>
      <c r="G169" s="15" t="inlineStr">
        <is>
          <t>Public VC / öffentliche Beteiligungsgesellschaft (seit 1997)</t>
        </is>
      </c>
      <c r="H169" s="16" t="inlineStr">
        <is>
          <t>Frühphase, Gründungs- und Startup-Finanzierung mit Langfristorientierung über mehrere Runden</t>
        </is>
      </c>
      <c r="I169" s="15" t="inlineStr">
        <is>
          <t>Teilweise — offen für Co-Investments mit anderen Investoren</t>
        </is>
      </c>
      <c r="J169" s="16" t="inlineStr">
        <is>
          <t>bis zu 2 Mio. EUR pro Beteiligung</t>
        </is>
      </c>
      <c r="K169" s="16" t="inlineStr">
        <is>
          <t>n/a</t>
        </is>
      </c>
      <c r="L169" s="18" t="inlineStr">
        <is>
          <t>Nein</t>
        </is>
      </c>
      <c r="M169" s="16" t="inlineStr">
        <is>
          <t>Junge, innovative Technologieunternehmen mit ausgeprägtem Alleinstellungsmerkmal, insbesondere Hochschul-Spin-offs; Ziel ist die Stärkung der Wettbewerbsfähigkeit des Saarlands</t>
        </is>
      </c>
      <c r="N169" s="16" t="inlineStr">
        <is>
          <t>Kein explizites AI-/Data-Infra-Investment; 15+ aktive Beteiligungen, u.a. DC Smarter, Xpect AG, DELFA Systems, Effinigo (Energiesysteme, Testautomatisierung, Software)</t>
        </is>
      </c>
      <c r="O169" s="16" t="inlineStr">
        <is>
          <t>Gering — allgemeine Technologieorientierung ohne AI-Schwerpunkt; interessant wäre allenfalls die Nähe zum DFKI und zur Universität des Saarlandes als AI-Forschungsstandort</t>
        </is>
      </c>
      <c r="P169" s="16" t="inlineStr">
        <is>
          <t>Data-Infra-nah</t>
        </is>
      </c>
      <c r="Q169" s="16" t="inlineStr">
        <is>
          <t>Michael Schmidt</t>
        </is>
      </c>
      <c r="R169" s="16" t="inlineStr">
        <is>
          <t>Geschäftsführer und Mitgründer (gemeinsam mit Doris Woll); Investment Manager: Madeleine Adam, Marco Mathieu, Thorsten Warken, Andreas Wehr</t>
        </is>
      </c>
      <c r="S169" s="16" t="inlineStr">
        <is>
          <t>n/a</t>
        </is>
      </c>
      <c r="T169" s="16" t="inlineStr">
        <is>
          <t>Kontakt über swgmbh.de</t>
        </is>
      </c>
      <c r="U169" s="16" t="inlineStr">
        <is>
          <t>Frühphasenfokus und Tickets bis 2 Mio. EUR wären passend, aber die SWG investiert ausdrücklich nur in im Saarland ansässige Unternehmen — ohne Standort dort ist PathWize schlicht nicht förderfähig.</t>
        </is>
      </c>
      <c r="V169" s="16" t="inlineStr">
        <is>
          <t>Harte regionale Beschränkung auf das Saarland als K.-o.-Kriterium; öffentlicher Investor mit entsprechenden Auflagen und langsameren Prozessen; kein AI-Schwerpunkt; kein Fondsvolumen publiziert</t>
        </is>
      </c>
      <c r="W169" s="16" t="inlineStr">
        <is>
          <t>Nur relevant, falls PathWize einen Standort im Saarland aufbaut — dann über die DFKI-/Uni-Saarland-Nähe als AI-Forschungsstandort einsteigen; sonst nicht verfolgen.</t>
        </is>
      </c>
      <c r="X169" s="18" t="n">
        <v>24</v>
      </c>
      <c r="Y169" s="18" t="n">
        <v>8</v>
      </c>
      <c r="Z169" s="18" t="n">
        <v>4</v>
      </c>
      <c r="AA169" s="18" t="n">
        <v>6</v>
      </c>
      <c r="AB169" s="18" t="n">
        <v>3</v>
      </c>
      <c r="AC169" s="15" t="inlineStr">
        <is>
          <t>Mittel</t>
        </is>
      </c>
      <c r="AD169" s="15" t="inlineStr">
        <is>
          <t>Bestandsliste</t>
        </is>
      </c>
      <c r="AE169" s="16" t="inlineStr">
        <is>
          <t>https://swgmbh.de/</t>
        </is>
      </c>
      <c r="AF169" s="16" t="inlineStr">
        <is>
          <t>https://swgmbh.de/</t>
        </is>
      </c>
    </row>
    <row r="170">
      <c r="A170" s="24" t="n">
        <v>166</v>
      </c>
      <c r="B170" s="25" t="inlineStr">
        <is>
          <t>allygatr</t>
        </is>
      </c>
      <c r="C170" s="26" t="inlineStr">
        <is>
          <t>C</t>
        </is>
      </c>
      <c r="D170" s="26" t="n">
        <v>44</v>
      </c>
      <c r="E170" s="15" t="inlineStr">
        <is>
          <t>Berlin</t>
        </is>
      </c>
      <c r="F170" s="15" t="inlineStr">
        <is>
          <t>Deutschland</t>
        </is>
      </c>
      <c r="G170" s="15" t="inlineStr">
        <is>
          <t>Venture Builder / Operator-VC</t>
        </is>
      </c>
      <c r="H170" s="16" t="inlineStr">
        <is>
          <t>Pre-Seed &amp; Seed (haeufig Company-Building statt klassischem Investment)</t>
        </is>
      </c>
      <c r="I170" s="15" t="inlineStr">
        <is>
          <t>Teilweise; Modell ist eher Build-Operate-Transfer und operative Beteiligung als klassische Lead-Runde</t>
        </is>
      </c>
      <c r="J170" s="16" t="inlineStr">
        <is>
          <t>sechsstellige Betraege (genaue Spanne n/a)</t>
        </is>
      </c>
      <c r="K170" s="16" t="inlineStr">
        <is>
          <t>n/a</t>
        </is>
      </c>
      <c r="L170" s="18" t="inlineStr">
        <is>
          <t>Nein</t>
        </is>
      </c>
      <c r="M170" s="16" t="inlineStr">
        <is>
          <t>Ausschliesslich Future of Work und HR-Technologie; dreiseitige Plattform aus Gruendern, Corporates und Investoren; 'Operators first, investors second'; gegruendet 2012</t>
        </is>
      </c>
      <c r="N170" s="16" t="inlineStr">
        <is>
          <t>ca. 10 direkte Investments, insgesamt 37 Transaktionen, u.a. Talent2Go; keine AI-Infrastruktur- oder Data-Investments belegbar</t>
        </is>
      </c>
      <c r="O170" s="16" t="inlineStr">
        <is>
          <t>Niedrig - kein Bezug zu ML-Trainingsdaten; AI hoechstens als Feature in HR-Software</t>
        </is>
      </c>
      <c r="P170" s="16" t="inlineStr">
        <is>
          <t>-</t>
        </is>
      </c>
      <c r="Q170" s="16" t="inlineStr">
        <is>
          <t>Benjamin Visser</t>
        </is>
      </c>
      <c r="R170" s="16" t="inlineStr">
        <is>
          <t>Founder &amp; CEO</t>
        </is>
      </c>
      <c r="S170" s="16" t="inlineStr">
        <is>
          <t>https://de.linkedin.com/in/benjaminvisser</t>
        </is>
      </c>
      <c r="T170" s="16" t="inlineStr">
        <is>
          <t>Pitch-Formular unter https://allygatr.com/founders bzw. https://allygatr-pitch-intake.zapier.app; Kontaktseite https://allygatr.com/contact</t>
        </is>
      </c>
      <c r="U170" s="16" t="inlineStr">
        <is>
          <t>Berliner Fruehphasen-Adresse mit passender Stage, aber ein reines HR-Tech-/Future-of-Work-Mandat und ein Venture-Builder-Modell, das operative Kontrolle statt Finanzbeteiligung sucht. Fuer eine Data-Infrastruktur-Company kein sinnvoller Kapitalgeber.</t>
        </is>
      </c>
      <c r="V170" s="16" t="inlineStr">
        <is>
          <t>Enger HR-Tech-Sektorfokus; Venture-Builder-Logik mit hohem operativem Eingriff; kleine sechsstellige Tickets; Fondsgroesse und Dry Powder intransparent</t>
        </is>
      </c>
      <c r="W170" s="16" t="inlineStr">
        <is>
          <t>Nur als Kunden-/Partnerkanal relevant: PathWize koennte den HR-Tech-Portfolio-Companies annotierte Trainingsdaten fuer Matching- und Screening-Modelle liefern - Investment-Fit besteht praktisch nicht.</t>
        </is>
      </c>
      <c r="X170" s="18" t="n">
        <v>20</v>
      </c>
      <c r="Y170" s="18" t="n">
        <v>6</v>
      </c>
      <c r="Z170" s="18" t="n">
        <v>3</v>
      </c>
      <c r="AA170" s="18" t="n">
        <v>5</v>
      </c>
      <c r="AB170" s="18" t="n">
        <v>10</v>
      </c>
      <c r="AC170" s="15" t="inlineStr">
        <is>
          <t>Mittel</t>
        </is>
      </c>
      <c r="AD170" s="15" t="inlineStr">
        <is>
          <t>Bestandsliste</t>
        </is>
      </c>
      <c r="AE170" s="16" t="inlineStr">
        <is>
          <t>https://www.allygatr.com/</t>
        </is>
      </c>
      <c r="AF170" s="16" t="inlineStr">
        <is>
          <t>https://www.allygatr.com/, https://allygatr.com/founders, https://www.startbase.com/organization/allygatr/, https://tracxn.com/d/venture-capital/allygatr/__r_RMW8vk646am30GFgMC58_7vyLSbSQqGolGIFyqqPI</t>
        </is>
      </c>
    </row>
    <row r="171">
      <c r="A171" s="24" t="n">
        <v>167</v>
      </c>
      <c r="B171" s="25" t="inlineStr">
        <is>
          <t>Isartal Ventures</t>
        </is>
      </c>
      <c r="C171" s="26" t="inlineStr">
        <is>
          <t>C</t>
        </is>
      </c>
      <c r="D171" s="26" t="n">
        <v>44</v>
      </c>
      <c r="E171" s="15" t="inlineStr">
        <is>
          <t>Muenchen</t>
        </is>
      </c>
      <c r="F171" s="15" t="inlineStr">
        <is>
          <t>Deutschland</t>
        </is>
      </c>
      <c r="G171" s="15" t="inlineStr">
        <is>
          <t>Corporate VC (Wort &amp; Bild Verlag)</t>
        </is>
      </c>
      <c r="H171" s="16" t="inlineStr">
        <is>
          <t>Seed, Series A, Series B (frueher Angaben auch Pre-Seed)</t>
        </is>
      </c>
      <c r="I171" s="15" t="inlineStr">
        <is>
          <t>Selten Lead, ueberwiegend strategischer Co-Investor</t>
        </is>
      </c>
      <c r="J171" s="16" t="inlineStr">
        <is>
          <t>n/a</t>
        </is>
      </c>
      <c r="K171" s="16" t="inlineStr">
        <is>
          <t>n/a (Bilanzinvestments des Wort &amp; Bild Verlags)</t>
        </is>
      </c>
      <c r="L171" s="18" t="inlineStr">
        <is>
          <t>Nein</t>
        </is>
      </c>
      <c r="M171" s="16" t="inlineStr">
        <is>
          <t>Digital Health und E-Health im DACH-Raum, speziell Geschaeftsmodelle, die Apotheken und den Gesundheitsmarkt staerken. Langfristige, werteorientierte Beteiligungsstrategie.</t>
        </is>
      </c>
      <c r="N171" s="16" t="inlineStr">
        <is>
          <t>Kein belegtes AI-/Data-Infra-Investment; Portfolio umfasst rund 6 Digital-Health-Unternehmen.</t>
        </is>
      </c>
      <c r="O171" s="16" t="inlineStr">
        <is>
          <t>Sehr gering - reiner Health-/Apotheken-Fokus ohne Infrastrukturthese.</t>
        </is>
      </c>
      <c r="P171" s="16" t="inlineStr">
        <is>
          <t>Data-Infra-nah</t>
        </is>
      </c>
      <c r="Q171" s="16" t="inlineStr">
        <is>
          <t>n/a</t>
        </is>
      </c>
      <c r="R171" s="16" t="inlineStr">
        <is>
          <t>n/a</t>
        </is>
      </c>
      <c r="S171" s="16" t="inlineStr">
        <is>
          <t>n/a</t>
        </is>
      </c>
      <c r="T171" s="16" t="inlineStr">
        <is>
          <t>Kontaktformular auf isartal-ventures.de</t>
        </is>
      </c>
      <c r="U171" s="16" t="inlineStr">
        <is>
          <t>Fruehphasenfokus und DACH-Geografie passen, aber Isartal ist ein enger Digital-Health-/Apotheken-CVC mit nur sechs Beteiligungen und ohne jeglichen Data-Infra-Bezug.</t>
        </is>
      </c>
      <c r="V171" s="16" t="inlineStr">
        <is>
          <t>Sehr enger strategischer Sektorfilter; sehr kleines Portfolio und geringe Aktivitaet; keine transparente Fondsgroesse oder Ticketspanne.</t>
        </is>
      </c>
      <c r="W171" s="16" t="inlineStr">
        <is>
          <t>Nur mit einem klaren Health-Use-Case sinnvoll: Annotation medizinischer Bild- und Textdaten fuer regulierte Gesundheitsanwendungen im DACH-Raum.</t>
        </is>
      </c>
      <c r="X171" s="18" t="n">
        <v>24</v>
      </c>
      <c r="Y171" s="18" t="n">
        <v>3</v>
      </c>
      <c r="Z171" s="18" t="n">
        <v>2</v>
      </c>
      <c r="AA171" s="18" t="n">
        <v>5</v>
      </c>
      <c r="AB171" s="18" t="n">
        <v>10</v>
      </c>
      <c r="AC171" s="15" t="inlineStr">
        <is>
          <t>Mittel</t>
        </is>
      </c>
      <c r="AD171" s="15" t="inlineStr">
        <is>
          <t>Bestandsliste</t>
        </is>
      </c>
      <c r="AE171" s="16" t="inlineStr">
        <is>
          <t>https://www.isartal-ventures.de/</t>
        </is>
      </c>
      <c r="AF171" s="16" t="inlineStr">
        <is>
          <t>https://www.isartal-ventures.de/, https://www.eu-startups.com/investor/isartal-ventures/, https://tracxn.com/d/venture-capital/isartal-ventures/__sTSb7PuwobVwQk9GFaxgXolY3Qhgdgy9GwA1fEMxyd8, https://caplink.capital/investor-database/isartal-ventures-gmbh-co-kg</t>
        </is>
      </c>
    </row>
    <row r="172">
      <c r="A172" s="24" t="n">
        <v>168</v>
      </c>
      <c r="B172" s="25" t="inlineStr">
        <is>
          <t>Muzungu GmbH (Muzungu Capital)</t>
        </is>
      </c>
      <c r="C172" s="26" t="inlineStr">
        <is>
          <t>C</t>
        </is>
      </c>
      <c r="D172" s="26" t="n">
        <v>44</v>
      </c>
      <c r="E172" s="15" t="inlineStr">
        <is>
          <t>München</t>
        </is>
      </c>
      <c r="F172" s="15" t="inlineStr">
        <is>
          <t>Deutschland</t>
        </is>
      </c>
      <c r="G172" s="15" t="inlineStr">
        <is>
          <t>VC / Unternehmer-getriebenes Investmentvehikel</t>
        </is>
      </c>
      <c r="H172" s="16" t="inlineStr">
        <is>
          <t>Early Stage (Pre-Seed, Seed)</t>
        </is>
      </c>
      <c r="I172" s="15" t="inlineStr">
        <is>
          <t>Teilweise — hands-on Beteiligungen, Lead-Funktion nicht explizit ausgewiesen</t>
        </is>
      </c>
      <c r="J172" s="16" t="inlineStr">
        <is>
          <t>250.000 - 2 Mio. EUR</t>
        </is>
      </c>
      <c r="K172" s="16" t="inlineStr">
        <is>
          <t>n/a</t>
        </is>
      </c>
      <c r="L172" s="18" t="inlineStr">
        <is>
          <t>Nein</t>
        </is>
      </c>
      <c r="M172" s="16" t="inlineStr">
        <is>
          <t>Ausschliesslich Digital-Industrien mit eigener Expertise: Digital Marketing, Online Advertising, Ad Technologies, Social Media, Content Marketing; explizit keine Copycats</t>
        </is>
      </c>
      <c r="N172" s="16" t="inlineStr">
        <is>
          <t>Kein AI-/Data-Infra-Investment belegt; Portfolio: Deutsche Teilkauf, VillaCircle, Hivegeist, Enmacc, Exactag (Marketing-Attribution/Daten), Nano Interactive (kontextuelles Advertising)</t>
        </is>
      </c>
      <c r="O172" s="16" t="inlineStr">
        <is>
          <t>Gering — Exactag und Nano Interactive arbeiten datengetrieben, aber im AdTech-Kontext, nicht mit ML-Trainingsdaten oder Human-in-the-loop-Annotation</t>
        </is>
      </c>
      <c r="P172" s="16" t="inlineStr">
        <is>
          <t>Data-Infra-nah</t>
        </is>
      </c>
      <c r="Q172" s="16" t="inlineStr">
        <is>
          <t>Ronald Paul</t>
        </is>
      </c>
      <c r="R172" s="16" t="inlineStr">
        <is>
          <t>Founder &amp; CEO (zuvor Aufbau und Exit einer Digitalagentur mit 400 Mitarbeitenden in 16 Ländern)</t>
        </is>
      </c>
      <c r="S172" s="16" t="inlineStr">
        <is>
          <t>n/a</t>
        </is>
      </c>
      <c r="T172" s="16" t="inlineStr">
        <is>
          <t>info@muzungu-capital.com; Rheinlandstraße 5, München; Telefon +49 174 3333150</t>
        </is>
      </c>
      <c r="U172" s="16" t="inlineStr">
        <is>
          <t>Ticketgröße und Pre-Seed/Seed-Stage passen formal gut, aber Muzungu investiert nach eigener Aussage nur dort, wo es selbst Experte ist — und das ist Digital Marketing/AdTech, nicht AI-Infrastruktur.</t>
        </is>
      </c>
      <c r="V172" s="16" t="inlineStr">
        <is>
          <t>Selbstauferlegte Sektorbeschränkung schliesst Deep-Tech/Data-Infra faktisch aus; keine Fondsgröße publiziert (mutmaßlich Family-Office-Struktur ohne institutionelles LP-Kapital); keine belegten Neuinvestments in jüngerer Zeit</t>
        </is>
      </c>
      <c r="W172" s="16" t="inlineStr">
        <is>
          <t>Nur mit Go-to-Market-Winkel ansprechen: PathWize als datengetriebenes B2B-Modell mit Marketing-/Vertriebsskalierung, bei dem Ronald Pauls Agentur-Netzwerk Kundenzugang öffnet — der Tech-Fit ist schwach.</t>
        </is>
      </c>
      <c r="X172" s="18" t="n">
        <v>22</v>
      </c>
      <c r="Y172" s="18" t="n">
        <v>6</v>
      </c>
      <c r="Z172" s="18" t="n">
        <v>3</v>
      </c>
      <c r="AA172" s="18" t="n">
        <v>4</v>
      </c>
      <c r="AB172" s="18" t="n">
        <v>9</v>
      </c>
      <c r="AC172" s="15" t="inlineStr">
        <is>
          <t>Mittel</t>
        </is>
      </c>
      <c r="AD172" s="15" t="inlineStr">
        <is>
          <t>Bestandsliste</t>
        </is>
      </c>
      <c r="AE172" s="16" t="inlineStr">
        <is>
          <t>https://muzungu-capital.com/</t>
        </is>
      </c>
      <c r="AF172" s="16" t="inlineStr">
        <is>
          <t>https://muzungu-capital.com/</t>
        </is>
      </c>
    </row>
    <row r="173">
      <c r="A173" s="24" t="n">
        <v>169</v>
      </c>
      <c r="B173" s="25" t="inlineStr">
        <is>
          <t>Summiteer GmbH</t>
        </is>
      </c>
      <c r="C173" s="26" t="inlineStr">
        <is>
          <t>C</t>
        </is>
      </c>
      <c r="D173" s="26" t="n">
        <v>44</v>
      </c>
      <c r="E173" s="15" t="inlineStr">
        <is>
          <t>Sueddeutschland (konkrete Stadt nicht oeffentlich ausgewiesen)</t>
        </is>
      </c>
      <c r="F173" s="18" t="inlineStr">
        <is>
          <t>DE</t>
        </is>
      </c>
      <c r="G173" s="15" t="inlineStr">
        <is>
          <t>Family Office / Beteiligungsgesellschaft (VC und Private Equity)</t>
        </is>
      </c>
      <c r="H173" s="16" t="inlineStr">
        <is>
          <t>Seed bis Growth</t>
        </is>
      </c>
      <c r="I173" s="15" t="inlineStr">
        <is>
          <t>Teilweise (langfristiger Kapitalgeber, auch Mehrheits- und Minderheitsbeteiligungen)</t>
        </is>
      </c>
      <c r="J173" s="16" t="inlineStr">
        <is>
          <t>n/a</t>
        </is>
      </c>
      <c r="K173" s="16" t="inlineStr">
        <is>
          <t>n/a (Evergreen-Familienvermoegen, kein Fondsvolumen kommuniziert)</t>
        </is>
      </c>
      <c r="L173" s="15" t="inlineStr">
        <is>
          <t>Teilweise</t>
        </is>
      </c>
      <c r="M173" s="16" t="inlineStr">
        <is>
          <t>Sechs Sektoren mit Nachhaltigkeitsklammer: Consumer &amp; Retail, Energy &amp; Cleantech, Food &amp; Beverage, Industry &amp; Software (Digitalisierung, intelligente Softwareloesungen), Mobility &amp; Transportation, Sustainability Services</t>
        </is>
      </c>
      <c r="N173" s="16" t="inlineStr">
        <is>
          <t>n/a (keine belegten AI-/Data-Infrastruktur-Investments oeffentlich auffindbar; Software nur als Teilbereich 'Industry &amp; Software')</t>
        </is>
      </c>
      <c r="O173" s="16" t="inlineStr">
        <is>
          <t>Gering: Kein Bezug zu Trainingsdaten, MLOps oder Annotation erkennbar</t>
        </is>
      </c>
      <c r="P173" s="16" t="inlineStr">
        <is>
          <t>Data-Infra-nah</t>
        </is>
      </c>
      <c r="Q173" s="16" t="inlineStr">
        <is>
          <t>n/a</t>
        </is>
      </c>
      <c r="R173" s="16" t="inlineStr">
        <is>
          <t>n/a</t>
        </is>
      </c>
      <c r="S173" s="16" t="inlineStr">
        <is>
          <t>n/a</t>
        </is>
      </c>
      <c r="T173" s="16" t="inlineStr">
        <is>
          <t>info@summiteer.com; Investmentanfrage ueber https://www.summiteer.com/kontakt/</t>
        </is>
      </c>
      <c r="U173" s="16" t="inlineStr">
        <is>
          <t>Sueddeutsches Family Office mit breitem Nachhaltigkeitsfokus von Consumer bis Cleantech; Software ist nur einer von sechs Sektoren und AI oder Data-Infrastruktur werden nirgends adressiert.</t>
        </is>
      </c>
      <c r="V173" s="16" t="inlineStr">
        <is>
          <t>Keine Ticketgroesse, kein Fondsvolumen, kein benanntes Investment-Team, kein Tech-Track-Record; PE-artiger Fokus auf 'bewaehrte, nachhaltige Geschaeftsmodelle' passt schlecht zu einem Pre-Seed-AI-Startup</t>
        </is>
      </c>
      <c r="W173" s="16" t="inlineStr">
        <is>
          <t>Nur opportunistisch anschreiben und PathWize unter 'Industry &amp; Software' als Enabler der industriellen Digitalisierung mit langfristigem, cashflow-orientiertem Servicemodell rahmen.</t>
        </is>
      </c>
      <c r="X173" s="18" t="n">
        <v>18</v>
      </c>
      <c r="Y173" s="18" t="n">
        <v>8</v>
      </c>
      <c r="Z173" s="18" t="n">
        <v>3</v>
      </c>
      <c r="AA173" s="18" t="n">
        <v>5</v>
      </c>
      <c r="AB173" s="18" t="n">
        <v>10</v>
      </c>
      <c r="AC173" s="15" t="inlineStr">
        <is>
          <t>Niedrig</t>
        </is>
      </c>
      <c r="AD173" s="15" t="inlineStr">
        <is>
          <t>Bestandsliste</t>
        </is>
      </c>
      <c r="AE173" s="16" t="inlineStr">
        <is>
          <t>https://www.summiteer.com/</t>
        </is>
      </c>
      <c r="AF173" s="16" t="inlineStr">
        <is>
          <t>https://www.summiteer.com/, https://www.summiteer.com/fokus/, https://www.summiteer.com/portfolio/, https://www.summiteer.com/kontakt/</t>
        </is>
      </c>
    </row>
    <row r="174">
      <c r="A174" s="24" t="n">
        <v>170</v>
      </c>
      <c r="B174" s="25" t="inlineStr">
        <is>
          <t>BLS Venture Capital</t>
        </is>
      </c>
      <c r="C174" s="26" t="inlineStr">
        <is>
          <t>C</t>
        </is>
      </c>
      <c r="D174" s="26" t="n">
        <v>43</v>
      </c>
      <c r="E174" s="15" t="inlineStr">
        <is>
          <t>Berlin</t>
        </is>
      </c>
      <c r="F174" s="18" t="inlineStr">
        <is>
          <t>DE</t>
        </is>
      </c>
      <c r="G174" s="15" t="inlineStr">
        <is>
          <t>Family Office / Micro-VC</t>
        </is>
      </c>
      <c r="H174" s="16" t="inlineStr">
        <is>
          <t>Seed, teils Begleitung bis Series A</t>
        </is>
      </c>
      <c r="I174" s="15" t="inlineStr">
        <is>
          <t>Nein (typischerweise Co-Investor/Business-Angel-Rolle)</t>
        </is>
      </c>
      <c r="J174" s="16" t="inlineStr">
        <is>
          <t>Sehr klein, laut Website Seed-Funding bis ca. 20 TEUR</t>
        </is>
      </c>
      <c r="K174" s="16" t="inlineStr">
        <is>
          <t>n/a</t>
        </is>
      </c>
      <c r="L174" s="18" t="inlineStr">
        <is>
          <t>Nein</t>
        </is>
      </c>
      <c r="M174" s="16" t="inlineStr">
        <is>
          <t>Skalierbare Technologien: IT/Software, Medizintechnik, Sensorik, Mikroelektronik, Automatisierung; Schwerpunkt Berlin-Brandenburg</t>
        </is>
      </c>
      <c r="N174" s="16" t="inlineStr">
        <is>
          <t>Keine belegten AI-/Data-Infra-Investments; historische Beteiligungen u.a. Saperion (Dokumentenmanagement), Epionics, Tandemploy</t>
        </is>
      </c>
      <c r="O174" s="16" t="inlineStr">
        <is>
          <t>Keine belegte Relevanz fuer Data Labeling oder Trainingsdaten</t>
        </is>
      </c>
      <c r="P174" s="16" t="inlineStr">
        <is>
          <t>Data-Infra-nah</t>
        </is>
      </c>
      <c r="Q174" s="16" t="inlineStr">
        <is>
          <t>Bernhard Boehm</t>
        </is>
      </c>
      <c r="R174" s="16" t="inlineStr">
        <is>
          <t>Geschaeftsfuehrer / Gruender</t>
        </is>
      </c>
      <c r="S174" s="16" t="inlineStr">
        <is>
          <t>n/a</t>
        </is>
      </c>
      <c r="T174" s="16" t="inlineStr">
        <is>
          <t>Kontakt ueber Website/Impressum bls-venture.de, Tel. +49 30 7901800</t>
        </is>
      </c>
      <c r="U174" s="16" t="inlineStr">
        <is>
          <t>Berliner Family Office mit Seed-Fokus und Tech-Affinitaet, aber ohne AI-/Data-These und mit Ticketgroessen im niedrigen fuenfstelligen Bereich, die eine Pre-Seed-Runde von PathWize nicht tragen.</t>
        </is>
      </c>
      <c r="V174" s="16" t="inlineStr">
        <is>
          <t>Extrem kleine Tickets (bis ca. 20 TEUR), sehr geringe oeffentlich sichtbare Investmentaktivitaet, veraltetes Portfolio, keine Fondsgroesse ausgewiesen</t>
        </is>
      </c>
      <c r="W174" s="16" t="inlineStr">
        <is>
          <t>Nur als kleiner Angel-/Beisteuer-Baustein in einer groesseren Pre-Seed-Runde ansprechen, mit Betonung des Berliner Deep-Tech-Netzwerks statt Leadfunktion.</t>
        </is>
      </c>
      <c r="X174" s="18" t="n">
        <v>18</v>
      </c>
      <c r="Y174" s="18" t="n">
        <v>10</v>
      </c>
      <c r="Z174" s="18" t="n">
        <v>3</v>
      </c>
      <c r="AA174" s="18" t="n">
        <v>2</v>
      </c>
      <c r="AB174" s="18" t="n">
        <v>10</v>
      </c>
      <c r="AC174" s="15" t="inlineStr">
        <is>
          <t>Mittel</t>
        </is>
      </c>
      <c r="AD174" s="15" t="inlineStr">
        <is>
          <t>Bestandsliste</t>
        </is>
      </c>
      <c r="AE174" s="16" t="inlineStr">
        <is>
          <t>https://www.bls-venture.de/</t>
        </is>
      </c>
      <c r="AF174" s="16" t="inlineStr">
        <is>
          <t>https://www.bls-venture.de/, https://www.crunchbase.com/organization/bls-venture-capital-gmbh, https://tracxn.com/d/venture-capital/bls-venture-capital</t>
        </is>
      </c>
    </row>
    <row r="175">
      <c r="A175" s="24" t="n">
        <v>171</v>
      </c>
      <c r="B175" s="25" t="inlineStr">
        <is>
          <t>CommerzVentures</t>
        </is>
      </c>
      <c r="C175" s="26" t="inlineStr">
        <is>
          <t>C</t>
        </is>
      </c>
      <c r="D175" s="26" t="n">
        <v>43</v>
      </c>
      <c r="E175" s="15" t="inlineStr">
        <is>
          <t>Frankfurt am Main</t>
        </is>
      </c>
      <c r="F175" s="18" t="inlineStr">
        <is>
          <t>DE</t>
        </is>
      </c>
      <c r="G175" s="15" t="inlineStr">
        <is>
          <t>Corporate VC</t>
        </is>
      </c>
      <c r="H175" s="16" t="inlineStr">
        <is>
          <t>Series A bis Series C</t>
        </is>
      </c>
      <c r="I175" s="15" t="inlineStr">
        <is>
          <t>Ja, fuehrt Series-A- und -B-Runden an</t>
        </is>
      </c>
      <c r="J175" s="16" t="inlineStr">
        <is>
          <t>2 - 10 Mio. EUR</t>
        </is>
      </c>
      <c r="K175" s="16" t="inlineStr">
        <is>
          <t>ca. 550 Mio. EUR ueber drei Fonds; Fonds III mit 300 Mio. EUR</t>
        </is>
      </c>
      <c r="L175" s="15" t="inlineStr">
        <is>
          <t>Teilweise</t>
        </is>
      </c>
      <c r="M175" s="16" t="inlineStr">
        <is>
          <t>Fintech, Insurtech und Climate Fintech in Europa und Israel; stark researchgetriebene Thesenarbeit inkl. Publikationen zu Digital Assets und Agentic AI</t>
        </is>
      </c>
      <c r="N175" s="16" t="inlineStr">
        <is>
          <t>AI-Thesen und -Beteiligungen ausschliesslich im Finanzdienstleistungskontext; keine horizontalen Data-Infrastruktur-Investments belegt</t>
        </is>
      </c>
      <c r="O175" s="16" t="inlineStr">
        <is>
          <t>Keine belegte Relevanz ausserhalb von Finanzdatenanwendungen</t>
        </is>
      </c>
      <c r="P175" s="16" t="inlineStr">
        <is>
          <t>Data-Infra-nah</t>
        </is>
      </c>
      <c r="Q175" s="16" t="inlineStr">
        <is>
          <t>n/a</t>
        </is>
      </c>
      <c r="R175" s="16" t="inlineStr">
        <is>
          <t>n/a</t>
        </is>
      </c>
      <c r="S175" s="16" t="inlineStr">
        <is>
          <t>n/a</t>
        </is>
      </c>
      <c r="T175" s="16" t="inlineStr">
        <is>
          <t>Kontaktformular auf commerzventures.com</t>
        </is>
      </c>
      <c r="U175" s="16" t="inlineStr">
        <is>
          <t>Gut kapitalisierter Frankfurter Fonds mit ernsthafter Agentic-AI-Thesenarbeit, aber ausschliesslich Fintech- und Insurtech-Mandat und Einstieg erst ab Series A/B.</t>
        </is>
      </c>
      <c r="V175" s="16" t="inlineStr">
        <is>
          <t>Kein Pre-Seed/Seed; sehr enges Sektormandat; kleines Team mit hoher Selektivitaet</t>
        </is>
      </c>
      <c r="W175" s="16" t="inlineStr">
        <is>
          <t>Erst ab Series A und nur mit einer Finanzdienstleistungs-Vertikale ansprechen, etwa annotierte Trainingsdaten fuer Compliance-, KYC- und Schadenpruefungsmodelle.</t>
        </is>
      </c>
      <c r="X175" s="18" t="n">
        <v>12</v>
      </c>
      <c r="Y175" s="18" t="n">
        <v>8</v>
      </c>
      <c r="Z175" s="18" t="n">
        <v>5</v>
      </c>
      <c r="AA175" s="18" t="n">
        <v>8</v>
      </c>
      <c r="AB175" s="18" t="n">
        <v>10</v>
      </c>
      <c r="AC175" s="18" t="inlineStr">
        <is>
          <t>Hoch</t>
        </is>
      </c>
      <c r="AD175" s="15" t="inlineStr">
        <is>
          <t>Bestandsliste</t>
        </is>
      </c>
      <c r="AE175" s="16" t="inlineStr">
        <is>
          <t>https://commerzventures.com/</t>
        </is>
      </c>
      <c r="AF175" s="16" t="inlineStr">
        <is>
          <t>https://commerzventures.com/, https://www.eu-startups.com/2022/03/commerzventures-closes-e300-million-fund-to-boost-european-fintech-and-insurtech-startups/, https://tracxn.com/d/venture-capital/commerzventures</t>
        </is>
      </c>
    </row>
    <row r="176">
      <c r="A176" s="24" t="n">
        <v>172</v>
      </c>
      <c r="B176" s="25" t="inlineStr">
        <is>
          <t>Yttrium</t>
        </is>
      </c>
      <c r="C176" s="26" t="inlineStr">
        <is>
          <t>C</t>
        </is>
      </c>
      <c r="D176" s="26" t="n">
        <v>43</v>
      </c>
      <c r="E176" s="15" t="inlineStr">
        <is>
          <t>Frankfurt (Büros München, London)</t>
        </is>
      </c>
      <c r="F176" s="15" t="inlineStr">
        <is>
          <t>Deutschland</t>
        </is>
      </c>
      <c r="G176" s="15" t="inlineStr">
        <is>
          <t>Growth Equity</t>
        </is>
      </c>
      <c r="H176" s="16" t="inlineStr">
        <is>
          <t>Growth / Series B+ (skalierende B2B-Tech-Unternehmen)</t>
        </is>
      </c>
      <c r="I176" s="15" t="inlineStr">
        <is>
          <t>Ja (führt Growth-Runden)</t>
        </is>
      </c>
      <c r="J176" s="16" t="inlineStr">
        <is>
          <t>n/a (nicht publiziert; Growth-typisch zweistellige Mio. EUR)</t>
        </is>
      </c>
      <c r="K176" s="16" t="inlineStr">
        <is>
          <t>über 750 Mio. EUR AUM; Fund II 2023 mit 403 Mio. EUR geschlossen</t>
        </is>
      </c>
      <c r="L176" s="15" t="inlineStr">
        <is>
          <t>Teilweise</t>
        </is>
      </c>
      <c r="M176" s="16" t="inlineStr">
        <is>
          <t>Europäische B2B-Technologieunternehmen, Schwerpunkt FinTech und IndustrialTech; SaaS, Enterprise Software, Big Data &amp; Analytics, AI/ML als Querschnittsthemen</t>
        </is>
      </c>
      <c r="N176" s="16" t="inlineStr">
        <is>
          <t>NavVis (räumliche Daten/Indoor-Mapping), quantilope (Insights-Automatisierung für Consumer Research), Pricefx (Pricing-Software), TRUCE Software</t>
        </is>
      </c>
      <c r="O176" s="16" t="inlineStr">
        <is>
          <t>Gering bis mittel - B2B-Datenprodukte im Portfolio, aber kein Frühphasenkapital und keine Data-Infra-/MLOps-These</t>
        </is>
      </c>
      <c r="P176" s="16" t="inlineStr">
        <is>
          <t>-</t>
        </is>
      </c>
      <c r="Q176" s="16" t="inlineStr">
        <is>
          <t>n/a</t>
        </is>
      </c>
      <c r="R176" s="16" t="inlineStr">
        <is>
          <t>n/a</t>
        </is>
      </c>
      <c r="S176" s="16" t="inlineStr">
        <is>
          <t>n/a</t>
        </is>
      </c>
      <c r="T176" s="16" t="inlineStr">
        <is>
          <t>https://yttrium.com/ (Kontakt über Website; keine öffentliche Pitch-Mail)</t>
        </is>
      </c>
      <c r="U176" s="16" t="inlineStr">
        <is>
          <t>Yttrium ist ein reiner Growth-Equity-Investor für skalierende B2B-Software mit FinTech-/IndustrialTech-Schwerpunkt und investiert nicht in Pre-Seed/Seed/Series A. Die B2B-Software-DNA passt inhaltlich, die Phase jedoch nicht.</t>
        </is>
      </c>
      <c r="V176" s="16" t="inlineStr">
        <is>
          <t>Kein Frühphaseninvestor; nur 2 Neuinvestments in den letzten 12 Monaten; verlangt substanzielle ARR-Traktion; kein AI/Data-Infra-Schwerpunkt</t>
        </is>
      </c>
      <c r="W176" s="16" t="inlineStr">
        <is>
          <t>Erst ab Series B/C relevant - PathWize sollte Yttrium als späteren Growth-Partner mit DACH-Enterprise-Zugang beobachten und den Kontakt über eine kurze Traktions-Update-Mail warmhalten.</t>
        </is>
      </c>
      <c r="X176" s="18" t="n">
        <v>4</v>
      </c>
      <c r="Y176" s="18" t="n">
        <v>16</v>
      </c>
      <c r="Z176" s="18" t="n">
        <v>8</v>
      </c>
      <c r="AA176" s="18" t="n">
        <v>5</v>
      </c>
      <c r="AB176" s="18" t="n">
        <v>10</v>
      </c>
      <c r="AC176" s="15" t="inlineStr">
        <is>
          <t>Mittel</t>
        </is>
      </c>
      <c r="AD176" s="15" t="inlineStr">
        <is>
          <t>Bestandsliste</t>
        </is>
      </c>
      <c r="AE176" s="16" t="inlineStr">
        <is>
          <t>https://yttrium.com/</t>
        </is>
      </c>
      <c r="AF176" s="16" t="inlineStr">
        <is>
          <t>https://yttrium.com/, https://www.crunchbase.com/organization/digitalpartners, https://tracxn.com/d/venture-capital/yttrium, https://pitchbook.com/profiles/investor/156134-08</t>
        </is>
      </c>
    </row>
    <row r="177">
      <c r="A177" s="24" t="n">
        <v>173</v>
      </c>
      <c r="B177" s="25" t="inlineStr">
        <is>
          <t>Ekk &amp; Co</t>
        </is>
      </c>
      <c r="C177" s="26" t="inlineStr">
        <is>
          <t>C</t>
        </is>
      </c>
      <c r="D177" s="26" t="n">
        <v>41</v>
      </c>
      <c r="E177" s="15" t="inlineStr">
        <is>
          <t>Stuttgart</t>
        </is>
      </c>
      <c r="F177" s="15" t="inlineStr">
        <is>
          <t>Deutschland</t>
        </is>
      </c>
      <c r="G177" s="15" t="inlineStr">
        <is>
          <t>VC / Beteiligungsgesellschaft (Early Growth, evergreen-artig, gegründet 2000 als Dr. Engelhardt, Kaupp, Kiefer)</t>
        </is>
      </c>
      <c r="H177" s="16" t="inlineStr">
        <is>
          <t>Early Growth - Unternehmen mit erreichtem Product-Market-Fit vor dem nächsten Wachstumsschritt; kein klassisches Series-A/B/C-Raster</t>
        </is>
      </c>
      <c r="I177" s="15" t="inlineStr">
        <is>
          <t>Ja - typischerweise als hauptbeteiligter Wachstumsinvestor</t>
        </is>
      </c>
      <c r="J177" s="16" t="inlineStr">
        <is>
          <t>mittlerer bis hoher siebenstelliger Bereich (Beispiel smartvillage: mittlerer siebenstelliger Betrag)</t>
        </is>
      </c>
      <c r="K177" s="16" t="inlineStr">
        <is>
          <t>n/a (nicht veröffentlicht); 32 Investments und 14 Exits seit Gründung</t>
        </is>
      </c>
      <c r="L177" s="18" t="inlineStr">
        <is>
          <t>Nein</t>
        </is>
      </c>
      <c r="M177" s="16" t="inlineStr">
        <is>
          <t>'Holistic Growth Investing' - branchenagnostisch, Fokus auf herausragende Teams mit bewiesenem Geschäftsmodell. Bisherige Sektoren: Daten, PropTech, Nachhaltigkeit, HR-Tech, Gaming/Esport, Konsumgüter, industrienahe Dienstleistungen.</t>
        </is>
      </c>
      <c r="N177" s="16" t="inlineStr">
        <is>
          <t>XPLN (Datenanalyse/Preisintelligenz) als einziges datennahes Investment; weiter ESL, Plitch, Happy Sprinkles, tradingtwins, smartvillage</t>
        </is>
      </c>
      <c r="O177" s="16" t="inlineStr">
        <is>
          <t>Gering: keine belegten AI-, MLOps- oder Annotation-Investments; das Portfolio ist überwiegend Consumer-, Gaming- und PropTech-lastig.</t>
        </is>
      </c>
      <c r="P177" s="16" t="inlineStr">
        <is>
          <t>-</t>
        </is>
      </c>
      <c r="Q177" s="16" t="inlineStr">
        <is>
          <t>Roman Loch</t>
        </is>
      </c>
      <c r="R177" s="16" t="inlineStr">
        <is>
          <t>Managing Partner (weitere: Moritz Reck, Managing Partner; Dr. Tobias Engelhardt, Founder &amp; Chairman)</t>
        </is>
      </c>
      <c r="S177" s="16" t="inlineStr">
        <is>
          <t>n/a</t>
        </is>
      </c>
      <c r="T177" s="16" t="inlineStr">
        <is>
          <t>info@ekkco.de ; Telefon +49 711 518 764 00 ; Marienstraße 39, 70178 Stuttgart</t>
        </is>
      </c>
      <c r="U177" s="16" t="inlineStr">
        <is>
          <t>EKK &amp; Co investiert erst nach erreichtem Product-Market-Fit in der Early-Growth-Phase und hat keine AI- oder Data-Infrastruktur-These; das Portfolio ist Consumer-, Gaming- und PropTech-geprägt.</t>
        </is>
      </c>
      <c r="V177" s="16" t="inlineStr">
        <is>
          <t>Kein AI/Data-Fokus, keine Frühphasen-Tickets, kein Deep-Tech-Track-Record. Für Pre-Seed/Seed faktisch nicht adressierbar.</t>
        </is>
      </c>
      <c r="W177" s="16" t="inlineStr">
        <is>
          <t>Erst bei belastbarem ARR und Profitabilitätspfad ansprechen - dann als bodenständiger süddeutscher Wachstumspartner für die Skalierung des Annotation-Delivery-Geschäfts.</t>
        </is>
      </c>
      <c r="X177" s="18" t="n">
        <v>10</v>
      </c>
      <c r="Y177" s="18" t="n">
        <v>10</v>
      </c>
      <c r="Z177" s="18" t="n">
        <v>5</v>
      </c>
      <c r="AA177" s="18" t="n">
        <v>6</v>
      </c>
      <c r="AB177" s="18" t="n">
        <v>10</v>
      </c>
      <c r="AC177" s="15" t="inlineStr">
        <is>
          <t>Mittel</t>
        </is>
      </c>
      <c r="AD177" s="15" t="inlineStr">
        <is>
          <t>Bestandsliste</t>
        </is>
      </c>
      <c r="AE177" s="16" t="inlineStr">
        <is>
          <t>https://www.ekkco.de/</t>
        </is>
      </c>
      <c r="AF177" s="16" t="inlineStr">
        <is>
          <t>https://www.ekkco.de/, https://www.crunchbase.com/organization/ekk-co, https://www.eu-startups.com/investor/ekk-co/, https://www.linkedin.com/company/ekkco</t>
        </is>
      </c>
    </row>
    <row r="178">
      <c r="A178" s="24" t="n">
        <v>174</v>
      </c>
      <c r="B178" s="25" t="inlineStr">
        <is>
          <t>Future Energy Ventures</t>
        </is>
      </c>
      <c r="C178" s="26" t="inlineStr">
        <is>
          <t>C</t>
        </is>
      </c>
      <c r="D178" s="26" t="n">
        <v>41</v>
      </c>
      <c r="E178" s="15" t="inlineStr">
        <is>
          <t>Berlin</t>
        </is>
      </c>
      <c r="F178" s="15" t="inlineStr">
        <is>
          <t>Deutschland</t>
        </is>
      </c>
      <c r="G178" s="15" t="inlineStr">
        <is>
          <t>Corporate-nahes Venture Capital (E.ON-Ursprung, heute eigenständig)</t>
        </is>
      </c>
      <c r="H178" s="16" t="inlineStr">
        <is>
          <t>Series A und später (Sweet Spot Series A/B mit Product-Market-Fit)</t>
        </is>
      </c>
      <c r="I178" s="18" t="inlineStr">
        <is>
          <t>Ja</t>
        </is>
      </c>
      <c r="J178" s="16" t="inlineStr">
        <is>
          <t>Series A 1-5 Mio. EUR, spätere Runden 5-10 Mio. EUR</t>
        </is>
      </c>
      <c r="K178" s="16" t="inlineStr">
        <is>
          <t>Fund II 2025 mit ca. 235 Mio. EUR geschlossen (Berichte nennen 205-235 Mio. EUR)</t>
        </is>
      </c>
      <c r="L178" s="15" t="inlineStr">
        <is>
          <t>Teilweise</t>
        </is>
      </c>
      <c r="M178" s="16" t="inlineStr">
        <is>
          <t>Energiewende mit Fokus auf Elektrifizierung und Orchestrierung; digitale, skalierbare, asset-light Unternehmen an der Schnittstelle von Energie, Mobilität, Gebäuden, Industrie und digitaler Infrastruktur; Artikel-9-Fonds nach SFDR</t>
        </is>
      </c>
      <c r="N178" s="16" t="inlineStr">
        <is>
          <t>GridCARE, Jua (KI-Wettervorhersage), enspired (KI-gestützter Stromhandel), Reel, Pstryk, Solarize, Feld Energy; AI, Cybersecurity, Robotik und Advanced Computing werden als Enabler-Technologien genannt</t>
        </is>
      </c>
      <c r="O178" s="16" t="inlineStr">
        <is>
          <t>Gering - AI wird nur als Enabler innerhalb der Energiewende-These betrachtet; ein horizontaler Data-Labeling-Anbieter fällt nicht in das Artikel-9-Mandat</t>
        </is>
      </c>
      <c r="P178" s="16" t="inlineStr">
        <is>
          <t>-</t>
        </is>
      </c>
      <c r="Q178" s="16" t="inlineStr">
        <is>
          <t>Jan Lozek</t>
        </is>
      </c>
      <c r="R178" s="16" t="inlineStr">
        <is>
          <t>Founder &amp; Managing Partner</t>
        </is>
      </c>
      <c r="S178" s="16" t="inlineStr">
        <is>
          <t>n/a</t>
        </is>
      </c>
      <c r="T178" s="16" t="inlineStr">
        <is>
          <t>https://form.typeform.com/to/gJ32a07U (Pitch-Formular)</t>
        </is>
      </c>
      <c r="U178" s="16" t="inlineStr">
        <is>
          <t>FEV investiert zwar ab Series A in DACH und nennt AI als Enabler, ist aber als SFDR-Artikel-9-Fonds strikt auf die Energiewende festgelegt. Ein horizontales Data-Labeling-Produkt passt nur, wenn PathWize einen klaren Energie-Use-Case nachweist.</t>
        </is>
      </c>
      <c r="V178" s="16" t="inlineStr">
        <is>
          <t>Artikel-9-Klassifizierung erzwingt nachweisbaren Klima-/Energiebeitrag; kein Pre-Seed/Seed; AI nur als Querschnittstechnologie, nicht als eigene These</t>
        </is>
      </c>
      <c r="W178" s="16" t="inlineStr">
        <is>
          <t>Nur mit einem konkreten Energie-Vertical ansprechen - etwa annotierte Trainingsdaten für Netzinspektion, Solar-/Anlagen-Bilderkennung oder Predictive Maintenance im Energiesektor.</t>
        </is>
      </c>
      <c r="X178" s="18" t="n">
        <v>12</v>
      </c>
      <c r="Y178" s="18" t="n">
        <v>7</v>
      </c>
      <c r="Z178" s="18" t="n">
        <v>4</v>
      </c>
      <c r="AA178" s="18" t="n">
        <v>8</v>
      </c>
      <c r="AB178" s="18" t="n">
        <v>10</v>
      </c>
      <c r="AC178" s="15" t="inlineStr">
        <is>
          <t>Mittel</t>
        </is>
      </c>
      <c r="AD178" s="15" t="inlineStr">
        <is>
          <t>Bestandsliste</t>
        </is>
      </c>
      <c r="AE178" s="16" t="inlineStr">
        <is>
          <t>https://fev.vc/</t>
        </is>
      </c>
      <c r="AF178" s="16" t="inlineStr">
        <is>
          <t>https://fev.vc/, https://fev.vc/team/, https://www.esgtoday.com/future-energy-ventures-raises-270-million-energy-transition-tech-vc-fund/, https://www.eu-startups.com/2025/11/future-energy-ventures-closes-e205-million-fund-ii-strengthening-its-role-in-european-energytech-vc/</t>
        </is>
      </c>
    </row>
    <row r="179">
      <c r="A179" s="24" t="n">
        <v>175</v>
      </c>
      <c r="B179" s="25" t="inlineStr">
        <is>
          <t>Wellington Partners</t>
        </is>
      </c>
      <c r="C179" s="26" t="inlineStr">
        <is>
          <t>C</t>
        </is>
      </c>
      <c r="D179" s="26" t="n">
        <v>40</v>
      </c>
      <c r="E179" s="15" t="inlineStr">
        <is>
          <t>München</t>
        </is>
      </c>
      <c r="F179" s="15" t="inlineStr">
        <is>
          <t>Deutschland</t>
        </is>
      </c>
      <c r="G179" s="15" t="inlineStr">
        <is>
          <t>VC (heute Sektorspezialist Life Science)</t>
        </is>
      </c>
      <c r="H179" s="16" t="inlineStr">
        <is>
          <t>Early Stage bis Growth Stage – ausschließlich Life Science</t>
        </is>
      </c>
      <c r="I179" s="15" t="inlineStr">
        <is>
          <t>Ja – führt Runden in Life-Science-Deals regelmäßig an</t>
        </is>
      </c>
      <c r="J179" s="16" t="inlineStr">
        <is>
          <t>bis zu 20 Mio. EUR pro Portfolio-Company über die Lebensdauer</t>
        </is>
      </c>
      <c r="K179" s="16" t="inlineStr">
        <is>
          <t>Wellington Partners Life Science Fund V (WPLS-V): 237 Mio. USD / ca. 210 Mio. EUR; Ziel 15–20 Portfolio-Companies</t>
        </is>
      </c>
      <c r="L179" s="18" t="inlineStr">
        <is>
          <t>Nein</t>
        </is>
      </c>
      <c r="M179" s="16" t="inlineStr">
        <is>
          <t>Life Science: Biotechnologie-Plattformen, neue Therapeutika, Medizintechnik, selektiv Diagnostik und Digital Medicine; Fokus Deutschland/Europa</t>
        </is>
      </c>
      <c r="N179" s="16" t="inlineStr">
        <is>
          <t>n/a – Digital-Medicine-Investments existieren selektiv, aber kein belegtes AI-Infrastruktur- oder Data-Tooling-Investment</t>
        </is>
      </c>
      <c r="O179" s="16" t="inlineStr">
        <is>
          <t>Gering – nur denkbar über medizinische Bilddaten in Digital-Medicine-Beteiligungen</t>
        </is>
      </c>
      <c r="P179" s="16" t="inlineStr">
        <is>
          <t>Data-Infra-nah</t>
        </is>
      </c>
      <c r="Q179" s="16" t="inlineStr">
        <is>
          <t>n/a</t>
        </is>
      </c>
      <c r="R179" s="16" t="inlineStr">
        <is>
          <t>n/a</t>
        </is>
      </c>
      <c r="S179" s="16" t="inlineStr">
        <is>
          <t>n/a</t>
        </is>
      </c>
      <c r="T179" s="16" t="inlineStr">
        <is>
          <t>n/a (Kontakt über wellington-partners.com)</t>
        </is>
      </c>
      <c r="U179" s="16" t="inlineStr">
        <is>
          <t>Der frühere Tech-Arm ist praktisch inaktiv; heute reiner Life-Science-Investor mit 237-Mio.-USD-Fonds V. Eine horizontale Data-Labeling-Plattform passt nicht ins Mandat, trotz guter DACH-Verankerung.</t>
        </is>
      </c>
      <c r="V179" s="16" t="inlineStr">
        <is>
          <t>Ausschließlich Life-Science-Mandat; keine aktive Tech-/Software-Strategie mehr; sehr konzentriertes Portfolio (15–20 Companies)</t>
        </is>
      </c>
      <c r="W179" s="16" t="inlineStr">
        <is>
          <t>Nur mit einem Life-Science-Vertical sinnvoll: Annotation von Pathologie-, Radiologie- und Omics-Daten für Biotech- und Medtech-Modelle.</t>
        </is>
      </c>
      <c r="X179" s="18" t="n">
        <v>16</v>
      </c>
      <c r="Y179" s="18" t="n">
        <v>4</v>
      </c>
      <c r="Z179" s="18" t="n">
        <v>3</v>
      </c>
      <c r="AA179" s="18" t="n">
        <v>7</v>
      </c>
      <c r="AB179" s="18" t="n">
        <v>10</v>
      </c>
      <c r="AC179" s="15" t="inlineStr">
        <is>
          <t>Mittel</t>
        </is>
      </c>
      <c r="AD179" s="15" t="inlineStr">
        <is>
          <t>Bestandsliste</t>
        </is>
      </c>
      <c r="AE179" s="16" t="inlineStr">
        <is>
          <t>https://wellington-partners.com/</t>
        </is>
      </c>
      <c r="AF179" s="16" t="inlineStr">
        <is>
          <t>https://wellington-partners.com/, https://www.biospace.com/venture-firm-wellington-partners-launches-237-million-life-science-fund, https://www.labiotech.eu/trends-news/wellington-partners-life-sciences-fund/</t>
        </is>
      </c>
    </row>
    <row r="180">
      <c r="A180" s="27" t="n">
        <v>176</v>
      </c>
      <c r="B180" s="28" t="inlineStr">
        <is>
          <t>Alpine Space Ventures</t>
        </is>
      </c>
      <c r="C180" s="29" t="inlineStr">
        <is>
          <t>D</t>
        </is>
      </c>
      <c r="D180" s="29" t="n">
        <v>38</v>
      </c>
      <c r="E180" s="15" t="inlineStr">
        <is>
          <t>München</t>
        </is>
      </c>
      <c r="F180" s="15" t="inlineStr">
        <is>
          <t>Deutschland</t>
        </is>
      </c>
      <c r="G180" s="15" t="inlineStr">
        <is>
          <t>Sektorspezifisches Venture Capital (Space)</t>
        </is>
      </c>
      <c r="H180" s="16" t="inlineStr">
        <is>
          <t>Series A (Unternehmen mit ersten Umsätzen und Kundenpipeline), Follow-on in späteren Runden</t>
        </is>
      </c>
      <c r="I180" s="15" t="inlineStr">
        <is>
          <t>Ja (führt Runden typischerweise an)</t>
        </is>
      </c>
      <c r="J180" s="16" t="inlineStr">
        <is>
          <t>10-20 Mio. EUR Erstinvestment</t>
        </is>
      </c>
      <c r="K180" s="16" t="inlineStr">
        <is>
          <t>Fonds I mit 160-170 Mio. EUR geschlossen (2024); Investoren u.a. NATO Innovation Fund und Europäischer Investitionsfonds</t>
        </is>
      </c>
      <c r="L180" s="18" t="inlineStr">
        <is>
          <t>Nein</t>
        </is>
      </c>
      <c r="M180" s="16" t="inlineStr">
        <is>
          <t>Gesamte industrielle Wertschöpfungskette der Raumfahrt: Komponenten, Satellitenfertigung, Betrieb, Service-Bereitstellung und Datenverarbeitung; Fokus auf 10x-Verbesserungen in existierenden Märkten statt spekulativer Technologien</t>
        </is>
      </c>
      <c r="N180" s="16" t="inlineStr">
        <is>
          <t>constellr (thermale Erdbeobachtungsdaten), Northwood (Bodeninfrastruktur), K2 Space, Reflex Aerospace, Blackwave, Source Energy, Morpheus Space</t>
        </is>
      </c>
      <c r="O180" s="16" t="inlineStr">
        <is>
          <t>Gering - lediglich indirekt über Erdbeobachtungs-Datenverarbeitung (constellr); kein horizontales AI-/Labeling-Mandat</t>
        </is>
      </c>
      <c r="P180" s="16" t="inlineStr">
        <is>
          <t>-</t>
        </is>
      </c>
      <c r="Q180" s="16" t="inlineStr">
        <is>
          <t>Bulent Altan</t>
        </is>
      </c>
      <c r="R180" s="16" t="inlineStr">
        <is>
          <t>Founding Partner (zuvor SpaceX-Führungsteam 2004-2017)</t>
        </is>
      </c>
      <c r="S180" s="16" t="inlineStr">
        <is>
          <t>n/a</t>
        </is>
      </c>
      <c r="T180" s="16" t="inlineStr">
        <is>
          <t>team@alpinespace.vc</t>
        </is>
      </c>
      <c r="U180" s="16" t="inlineStr">
        <is>
          <t>Alpine Space Ventures ist ein reiner Space-Sektorfonds mit 10-20 Mio. EUR Tickets ab Series A und hat weder eine AI-/Data-Infra-These noch passende Frühphasen-Tickets. Nur ein spezialisierter Erdbeobachtungs-Annotationsfall wäre überhaupt anschlussfähig.</t>
        </is>
      </c>
      <c r="V180" s="16" t="inlineStr">
        <is>
          <t>Enger Space-Sektorfokus; Mindestticket 10 Mio. EUR deutlich über Seed-Bedarf; kein Pre-Seed/Seed; Fonds I bereits weitgehend allokiert (7 Portfoliofirmen), kein Fonds II bestätigt</t>
        </is>
      </c>
      <c r="W180" s="16" t="inlineStr">
        <is>
          <t>Nur relevant, wenn PathWize ein Satelliten-/Erdbeobachtungs-Annotationsprodukt aufbaut - dann über constellr als Referenzkunde und Warm-Intro einsteigen.</t>
        </is>
      </c>
      <c r="X180" s="18" t="n">
        <v>14</v>
      </c>
      <c r="Y180" s="18" t="n">
        <v>4</v>
      </c>
      <c r="Z180" s="18" t="n">
        <v>3</v>
      </c>
      <c r="AA180" s="18" t="n">
        <v>7</v>
      </c>
      <c r="AB180" s="18" t="n">
        <v>10</v>
      </c>
      <c r="AC180" s="18" t="inlineStr">
        <is>
          <t>Hoch</t>
        </is>
      </c>
      <c r="AD180" s="15" t="inlineStr">
        <is>
          <t>Bestandsliste</t>
        </is>
      </c>
      <c r="AE180" s="16" t="inlineStr">
        <is>
          <t>https://alpinespace.vc/</t>
        </is>
      </c>
      <c r="AF180" s="16" t="inlineStr">
        <is>
          <t>https://alpinespace.vc/, https://www.munich-startup.de/en/103298/alpine-space-ventures-fund-closing/, https://www.eu-startups.com/2024/07/alpine-space-ventures-closes-e170-million-fund-to-target-series-a-space-tech-rounds/, https://payloadspace.com/alpine-space-ventures-closes-e170m-fund/</t>
        </is>
      </c>
    </row>
    <row r="181">
      <c r="A181" s="27" t="n">
        <v>177</v>
      </c>
      <c r="B181" s="28" t="inlineStr">
        <is>
          <t>Evonik Venture Capital</t>
        </is>
      </c>
      <c r="C181" s="29" t="inlineStr">
        <is>
          <t>D</t>
        </is>
      </c>
      <c r="D181" s="29" t="n">
        <v>38</v>
      </c>
      <c r="E181" s="15" t="inlineStr">
        <is>
          <t>Essen / Hanau (weitere Standorte in den USA und China)</t>
        </is>
      </c>
      <c r="F181" s="15" t="inlineStr">
        <is>
          <t>Deutschland</t>
        </is>
      </c>
      <c r="G181" s="15" t="inlineStr">
        <is>
          <t>Corporate VC (Evonik Industries AG)</t>
        </is>
      </c>
      <c r="H181" s="16" t="inlineStr">
        <is>
          <t>Early Stage bis Growth Stage, in der Praxis Schwerpunkt Series A und Series B</t>
        </is>
      </c>
      <c r="I181" s="15" t="inlineStr">
        <is>
          <t>Teilweise - überwiegend strategischer Co-Investor neben Finanzinvestoren</t>
        </is>
      </c>
      <c r="J181" s="16" t="inlineStr">
        <is>
          <t>bis zu 15 Mio. EUR pro Portfoliounternehmen</t>
        </is>
      </c>
      <c r="K181" s="16" t="inlineStr">
        <is>
          <t>ca. 400 Mio. EUR Fondsvolumen; über 55 Direkt- und Fondsinvestments</t>
        </is>
      </c>
      <c r="L181" s="18" t="inlineStr">
        <is>
          <t>Nein</t>
        </is>
      </c>
      <c r="M181" s="16" t="inlineStr">
        <is>
          <t>Strategische Innovationsfelder von Evonik: Advance Precision Biosolutions, Accelerate Energy Transition und Enable Circular Economy; Sustainability Tech Fund mit sechs Technologiefeldern (Kreislaufwirtschaft, alternative Rohstoffe, Zukunftsmobilität, Wasserstoff, erneuerbarer Kohlenstoff, saubere Energie). Digitalisierung nur als Querschnittsthema entlang der Chemie-Wertschöpfungskette.</t>
        </is>
      </c>
      <c r="N181" s="16" t="inlineStr">
        <is>
          <t>n/a - keine belegten AI-, Data-Infrastruktur- oder MLOps-Investments; Fondsbeteiligungen u.a. an Azolla Ventures und Chrysalix (beide Sustainability)</t>
        </is>
      </c>
      <c r="O181" s="16" t="inlineStr">
        <is>
          <t>Gering: Der strategische Investmentauftrag ist auf Chemie, Materialien und Nachhaltigkeit ausgerichtet; horizontale Data-Labeling-Infrastruktur hat keinen strategischen Bezug zum Kerngeschäft.</t>
        </is>
      </c>
      <c r="P181" s="16" t="inlineStr">
        <is>
          <t>Data-Infra-nah</t>
        </is>
      </c>
      <c r="Q181" s="16" t="inlineStr">
        <is>
          <t>n/a</t>
        </is>
      </c>
      <c r="R181" s="16" t="inlineStr">
        <is>
          <t>n/a</t>
        </is>
      </c>
      <c r="S181" s="16" t="inlineStr">
        <is>
          <t>n/a</t>
        </is>
      </c>
      <c r="T181" s="16" t="inlineStr">
        <is>
          <t>Kontakt über https://www.evonik.com/en/company/venture-capital.html ; öffentliche Pitch-E-Mail: n/a</t>
        </is>
      </c>
      <c r="U181" s="16" t="inlineStr">
        <is>
          <t>Evonik Venture Capital investiert strategisch entlang der Chemie- und Nachhaltigkeits-Wertschöpfungskette ohne AI-/Data-Infrastruktur-These und typischerweise ab Series A - für PathWize besteht weder thematischer noch phasenseitiger Fit.</t>
        </is>
      </c>
      <c r="V181" s="16" t="inlineStr">
        <is>
          <t>Corporate-VC mit strategischem Filter (Bezug zum Chemiegeschäft erforderlich), kein AI/Data-Portfolio, kein Frühphasen-Schwerpunkt, kein öffentlicher Pitch-Kanal.</t>
        </is>
      </c>
      <c r="W181" s="16" t="inlineStr">
        <is>
          <t>Nur opportunistisch relevant, falls PathWize einen konkreten Industrie-/Chemie-Use-Case für annotierte Prozess- oder Materialdaten belegen kann.</t>
        </is>
      </c>
      <c r="X181" s="18" t="n">
        <v>12</v>
      </c>
      <c r="Y181" s="18" t="n">
        <v>6</v>
      </c>
      <c r="Z181" s="18" t="n">
        <v>3</v>
      </c>
      <c r="AA181" s="18" t="n">
        <v>7</v>
      </c>
      <c r="AB181" s="18" t="n">
        <v>10</v>
      </c>
      <c r="AC181" s="15" t="inlineStr">
        <is>
          <t>Mittel</t>
        </is>
      </c>
      <c r="AD181" s="15" t="inlineStr">
        <is>
          <t>Bestandsliste</t>
        </is>
      </c>
      <c r="AE181" s="16" t="inlineStr">
        <is>
          <t>https://www.evonik.com/en/company/venture-capital.html</t>
        </is>
      </c>
      <c r="AF181" s="16" t="inlineStr">
        <is>
          <t>https://www.evonik.com/en/company/venture-capital.html, https://www.evonik.com/en/company/Innovation/venture-capital/who-we-are.html, https://vc-mapping.gilion.com/vc-firms/evonik-venture-capital, https://www.evonik.com/en/news/press-releases/2022/06/evonik-spends-venture-capital-on-sustainability-funds-azolla-ven.html</t>
        </is>
      </c>
    </row>
    <row r="182">
      <c r="A182" s="27" t="n">
        <v>178</v>
      </c>
      <c r="B182" s="28" t="inlineStr">
        <is>
          <t>MGO Digital Ventures</t>
        </is>
      </c>
      <c r="C182" s="29" t="inlineStr">
        <is>
          <t>D</t>
        </is>
      </c>
      <c r="D182" s="29" t="n">
        <v>38</v>
      </c>
      <c r="E182" s="15" t="inlineStr">
        <is>
          <t>Bamberg</t>
        </is>
      </c>
      <c r="F182" s="15" t="inlineStr">
        <is>
          <t>Deutschland</t>
        </is>
      </c>
      <c r="G182" s="15" t="inlineStr">
        <is>
          <t>Corporate VC (Mediengruppe Oberfranken)</t>
        </is>
      </c>
      <c r="H182" s="16" t="inlineStr">
        <is>
          <t>Wachstumsphase; Batch-Angabe Seed/Series A nur teilweise bestaetigt</t>
        </is>
      </c>
      <c r="I182" s="15" t="inlineStr">
        <is>
          <t>Nein - ausschliesslich Minderheitsbeteiligungen, kein Lead-Profil belegt</t>
        </is>
      </c>
      <c r="J182" s="16" t="inlineStr">
        <is>
          <t>n/a</t>
        </is>
      </c>
      <c r="K182" s="16" t="inlineStr">
        <is>
          <t>n/a (Investmentarm der Mediengruppe, kein eigener Fonds)</t>
        </is>
      </c>
      <c r="L182" s="18" t="inlineStr">
        <is>
          <t>Nein</t>
        </is>
      </c>
      <c r="M182" s="16" t="inlineStr">
        <is>
          <t>Digitale Geschaeftsmodelle breit: Mobile Applications, E-Commerce, Payment, Software as a Service. Mehrwert ueber Reichweite und Kundenkontakte der Mediengruppe in Franken.</t>
        </is>
      </c>
      <c r="N182" s="16" t="inlineStr">
        <is>
          <t>Kein belegtes AI-/Data-Infra-Investment auffindbar.</t>
        </is>
      </c>
      <c r="O182" s="16" t="inlineStr">
        <is>
          <t>Sehr gering - keine technische Infrastrukturthese, Fokus auf medien- und reichweitennahe Digitalmodelle.</t>
        </is>
      </c>
      <c r="P182" s="16" t="inlineStr">
        <is>
          <t>Data-Infra-nah</t>
        </is>
      </c>
      <c r="Q182" s="16" t="inlineStr">
        <is>
          <t>n/a</t>
        </is>
      </c>
      <c r="R182" s="16" t="inlineStr">
        <is>
          <t>n/a</t>
        </is>
      </c>
      <c r="S182" s="16" t="inlineStr">
        <is>
          <t>n/a</t>
        </is>
      </c>
      <c r="T182" s="16" t="inlineStr">
        <is>
          <t>Kontaktformular auf mgo-ventures.de</t>
        </is>
      </c>
      <c r="U182" s="16" t="inlineStr">
        <is>
          <t>Regionaler Medien-CVC mit Fokus auf Minderheitsbeteiligungen in der Wachstumsphase, ohne Fruehphasen-Lead-Profil und ohne jede AI- oder Data-Infra-These.</t>
        </is>
      </c>
      <c r="V182" s="16" t="inlineStr">
        <is>
          <t>Kein eigener Fonds, keine Ticketangaben; Wachstumsphase statt Pre-Seed/Seed; Mehrwertversprechen (Medienreichweite Franken) irrelevant fuer ein B2B-Data-Infra-Produkt.</t>
        </is>
      </c>
      <c r="W182" s="16" t="inlineStr">
        <is>
          <t>Faktisch kein Fit - allenfalls als spaeterer strategischer Kunde fuer Content- und Dokumentenannotation im Verlagsgeschaeft relevant.</t>
        </is>
      </c>
      <c r="X182" s="18" t="n">
        <v>15</v>
      </c>
      <c r="Y182" s="18" t="n">
        <v>7</v>
      </c>
      <c r="Z182" s="18" t="n">
        <v>3</v>
      </c>
      <c r="AA182" s="18" t="n">
        <v>4</v>
      </c>
      <c r="AB182" s="18" t="n">
        <v>9</v>
      </c>
      <c r="AC182" s="15" t="inlineStr">
        <is>
          <t>Mittel</t>
        </is>
      </c>
      <c r="AD182" s="15" t="inlineStr">
        <is>
          <t>Bestandsliste</t>
        </is>
      </c>
      <c r="AE182" s="16" t="inlineStr">
        <is>
          <t>https://www.mgo-ventures.de/</t>
        </is>
      </c>
      <c r="AF182" s="16" t="inlineStr">
        <is>
          <t>https://www.mgo-ventures.de/, https://www.mediengruppe-oberfranken.de/unsere-vielfalt/mgo-digital-ventures/, https://www.deutsche-startups.de/verzeichnisse/investors-a-z/mgo-digital-ventures/, https://www.investorenguide.de/investor-finden/mgo-digital-ventures-gmbh-mediengruppe-oberfranken/</t>
        </is>
      </c>
    </row>
    <row r="183">
      <c r="A183" s="27" t="n">
        <v>179</v>
      </c>
      <c r="B183" s="28" t="inlineStr">
        <is>
          <t>Tane Fund (Tane Ventures)</t>
        </is>
      </c>
      <c r="C183" s="29" t="inlineStr">
        <is>
          <t>D</t>
        </is>
      </c>
      <c r="D183" s="29" t="n">
        <v>38</v>
      </c>
      <c r="E183" s="15" t="inlineStr">
        <is>
          <t>Berlin</t>
        </is>
      </c>
      <c r="F183" s="15" t="inlineStr">
        <is>
          <t>Deutschland</t>
        </is>
      </c>
      <c r="G183" s="15" t="inlineStr">
        <is>
          <t>VC (Sektorfonds, gemanagt von Redstone gemeinsam mit Kauri CAB)</t>
        </is>
      </c>
      <c r="H183" s="16" t="inlineStr">
        <is>
          <t>Pre-Seed, Seed, Series A</t>
        </is>
      </c>
      <c r="I183" s="15" t="inlineStr">
        <is>
          <t>Ja (laut VC-Sheet-Profil leadfähig)</t>
        </is>
      </c>
      <c r="J183" s="16" t="inlineStr">
        <is>
          <t>ca. 300 TUSD - 3 Mio. USD</t>
        </is>
      </c>
      <c r="K183" s="16" t="inlineStr">
        <is>
          <t>ca. 50 Mio. EUR (Auflage gemeinsam mit Kauri CAB)</t>
        </is>
      </c>
      <c r="L183" s="18" t="inlineStr">
        <is>
          <t>Nein</t>
        </is>
      </c>
      <c r="M183" s="16" t="inlineStr">
        <is>
          <t>Impact-/ESG-Fonds für das 'Built Environment': PropTech, ConstructionTech, ressourcenschonendes Bauen, Wohneigentumszugang, Ausrichtung an den UN SDGs. Europaweiter Fokus.</t>
        </is>
      </c>
      <c r="N183" s="16" t="inlineStr">
        <is>
          <t>n/a - keine belegbaren AI-/Data-Infrastruktur-Investments auffindbar</t>
        </is>
      </c>
      <c r="O183" s="16" t="inlineStr">
        <is>
          <t>Sehr gering. Data Labeling ist branchenagnostische AI-Infrastruktur und trifft die Bau-/Immobilien-ESG-These des Fonds nicht. Allenfalls indirekt, falls PathWize einen dedizierten Use Case für Bau-/Immobiliendaten (z. B. Annotation von Bauplänen, Satelliten-/Drohnenbildern) bespielen würde.</t>
        </is>
      </c>
      <c r="P183" s="16" t="inlineStr">
        <is>
          <t>Data-Infra-nah</t>
        </is>
      </c>
      <c r="Q183" s="16" t="inlineStr">
        <is>
          <t>Niklas Grunewald</t>
        </is>
      </c>
      <c r="R183" s="16" t="inlineStr">
        <is>
          <t>Managing Partner</t>
        </is>
      </c>
      <c r="S183" s="16" t="inlineStr">
        <is>
          <t>n/a</t>
        </is>
      </c>
      <c r="T183" s="16" t="inlineStr">
        <is>
          <t>Über Redstone (https://redstone.vc/) - eigene Tane-Domain leitet auf Redstone um; Kontaktformular/E-Mail dort</t>
        </is>
      </c>
      <c r="U183" s="16" t="inlineStr">
        <is>
          <t>Stage (Pre-Seed bis Series A) und Geografie (Berlin, DACH/Europa) passen gut, aber die Investmentthese ist ein klarer Sektorfonds für Bau, Immobilien und ESG im 'Built Environment'. Ein branchenagnostisches Data-Labeling-/Annotationsgeschäft fällt vollständig aus dem Mandat. Kein belegbares AI-/Data-Infra-Portfolio.</t>
        </is>
      </c>
      <c r="V183" s="16" t="inlineStr">
        <is>
          <t>Eigene Website tane.fund leitet auf redstone.vc um; Redstone erwähnt den Tane Fund auf der eigenen Seite nicht - Hinweis auf Integration in die Redstone-Plattform oder auf eingestellte eigenständige Aktivität. Keine aktuellen Deal-Meldungen auffindbar. Redstone steht bereits separat auf der Bestandsliste (Doppelung).</t>
        </is>
      </c>
      <c r="W183" s="16" t="inlineStr">
        <is>
          <t>Nur sinnvoll, wenn PathWize einen konkreten Built-Environment-Use-Case belegen kann (z. B. annotierte Trainingsdaten für Bauabnahme, Baufortschritts-Erkennung, Gebäude-/Satellitenbilder für ESG-Reporting). Ansonsten Ansprache über Redstone insgesamt statt über das Tane-Vehikel.</t>
        </is>
      </c>
      <c r="X183" s="18" t="n">
        <v>24</v>
      </c>
      <c r="Y183" s="18" t="n">
        <v>2</v>
      </c>
      <c r="Z183" s="18" t="n">
        <v>1</v>
      </c>
      <c r="AA183" s="18" t="n">
        <v>2</v>
      </c>
      <c r="AB183" s="18" t="n">
        <v>9</v>
      </c>
      <c r="AC183" s="15" t="inlineStr">
        <is>
          <t>Mittel</t>
        </is>
      </c>
      <c r="AD183" s="15" t="inlineStr">
        <is>
          <t>Bestandsliste</t>
        </is>
      </c>
      <c r="AE183" s="16" t="inlineStr">
        <is>
          <t>https://www.tane.fund/ (leitet aktuell auf https://redstone.vc/ weiter)</t>
        </is>
      </c>
      <c r="AF183" s="16" t="inlineStr">
        <is>
          <t>https://www.tane.fund/ ; https://www.vcsheet.com/fund/tane-fund ; https://redstone.vc/ ; https://www.startbase.com/news/redstone-startet-neuen-50-millionen-euro-fonds/ ; https://www.crunchbase.com/organization/tane-fund</t>
        </is>
      </c>
    </row>
    <row r="184">
      <c r="A184" s="27" t="n">
        <v>180</v>
      </c>
      <c r="B184" s="28" t="inlineStr">
        <is>
          <t>Alpha Future Funds</t>
        </is>
      </c>
      <c r="C184" s="29" t="inlineStr">
        <is>
          <t>D</t>
        </is>
      </c>
      <c r="D184" s="29" t="n">
        <v>37</v>
      </c>
      <c r="E184" s="15" t="inlineStr">
        <is>
          <t>Muenchen</t>
        </is>
      </c>
      <c r="F184" s="15" t="inlineStr">
        <is>
          <t>Deutschland</t>
        </is>
      </c>
      <c r="G184" s="15" t="inlineStr">
        <is>
          <t>VC (Sektorfonds Rohstoffe/Bergbau)</t>
        </is>
      </c>
      <c r="H184" s="16" t="inlineStr">
        <is>
          <t>Seed und spaeter, inklusive bereits cashflow-positiver Unternehmen</t>
        </is>
      </c>
      <c r="I184" s="18" t="inlineStr">
        <is>
          <t>n/a</t>
        </is>
      </c>
      <c r="J184" s="16" t="inlineStr">
        <is>
          <t>0,5 bis 50 Mio. EUR initial, plus Follow-on</t>
        </is>
      </c>
      <c r="K184" s="16" t="inlineStr">
        <is>
          <t>n/a (nicht offengelegt)</t>
        </is>
      </c>
      <c r="L184" s="18" t="inlineStr">
        <is>
          <t>Nein</t>
        </is>
      </c>
      <c r="M184" s="16" t="inlineStr">
        <is>
          <t>Technologische Innovationen fuer Effizienz und Dekarbonisierung in Metall- und Mineralwertschoepfungsketten: Automatisierung und Elektrifizierung, METS (Mining Equipment, Technology &amp; Services), Lieferkettentransparenz, Exploration kritischer Rohstoffe</t>
        </is>
      </c>
      <c r="N184" s="16" t="inlineStr">
        <is>
          <t>keine oeffentlich gelisteten Portfolio-Companies auffindbar; n/a</t>
        </is>
      </c>
      <c r="O184" s="16" t="inlineStr">
        <is>
          <t>Niedrig - kein Bezug zu AI-Trainingsdaten; hoechstens indirekt ueber Lieferkettentransparenz</t>
        </is>
      </c>
      <c r="P184" s="16" t="inlineStr">
        <is>
          <t>-</t>
        </is>
      </c>
      <c r="Q184" s="16" t="inlineStr">
        <is>
          <t>n/a</t>
        </is>
      </c>
      <c r="R184" s="16" t="inlineStr">
        <is>
          <t>n/a</t>
        </is>
      </c>
      <c r="S184" s="16" t="inlineStr">
        <is>
          <t>n/a</t>
        </is>
      </c>
      <c r="T184" s="16" t="inlineStr">
        <is>
          <t>Kontaktformular auf https://alphafuturefunds.com/contact/ (auf der Website stehen Platzhalter-Kontaktdaten)</t>
        </is>
      </c>
      <c r="U184" s="16" t="inlineStr">
        <is>
          <t>Reiner Rohstoff-, Bergbau- und Metallwertschoepfungsfonds ohne erkennbare AI-, Software- oder Data-These; die enorme Ticketspanne bis 50 Mio. EUR deutet zudem auf Projekt- statt Fruehphasen-Software-Finanzierung. Kein Fit fuer PathWize.</t>
        </is>
      </c>
      <c r="V184" s="16" t="inlineStr">
        <is>
          <t>Kein AI-/Software-Bezug; keine Portfolio-Companies oeffentlich gelistet; Website enthaelt Platzhalter-Kontaktdaten (info@email.com, +00 00 000 0000) - Aktivitaet und Professionalitaet fraglich; Fondsgroesse nicht belegbar</t>
        </is>
      </c>
      <c r="W184" s="16" t="inlineStr">
        <is>
          <t>Kein sinnvoller Outreach - allenfalls als Kundenkontakt fuer annotierte Bild-/Sensordaten in Mining-Automatisierung, nicht als Investor.</t>
        </is>
      </c>
      <c r="X184" s="18" t="n">
        <v>18</v>
      </c>
      <c r="Y184" s="18" t="n">
        <v>4</v>
      </c>
      <c r="Z184" s="18" t="n">
        <v>2</v>
      </c>
      <c r="AA184" s="18" t="n">
        <v>4</v>
      </c>
      <c r="AB184" s="18" t="n">
        <v>9</v>
      </c>
      <c r="AC184" s="15" t="inlineStr">
        <is>
          <t>Niedrig</t>
        </is>
      </c>
      <c r="AD184" s="15" t="inlineStr">
        <is>
          <t>Bestandsliste</t>
        </is>
      </c>
      <c r="AE184" s="16" t="inlineStr">
        <is>
          <t>https://alphafuturefunds.com/</t>
        </is>
      </c>
      <c r="AF184" s="16" t="inlineStr">
        <is>
          <t>https://alphafuturefunds.com/, https://alphafuturefunds.com/contact/</t>
        </is>
      </c>
    </row>
    <row r="185">
      <c r="A185" s="27" t="n">
        <v>181</v>
      </c>
      <c r="B185" s="28" t="inlineStr">
        <is>
          <t>PropTech1 Ventures</t>
        </is>
      </c>
      <c r="C185" s="29" t="inlineStr">
        <is>
          <t>D</t>
        </is>
      </c>
      <c r="D185" s="29" t="n">
        <v>37</v>
      </c>
      <c r="E185" s="15" t="inlineStr">
        <is>
          <t>Berlin</t>
        </is>
      </c>
      <c r="F185" s="15" t="inlineStr">
        <is>
          <t>Deutschland</t>
        </is>
      </c>
      <c r="G185" s="15" t="inlineStr">
        <is>
          <t>VC (Sektorfonds PropTech / Real Estate Tech)</t>
        </is>
      </c>
      <c r="H185" s="16" t="inlineStr">
        <is>
          <t>Seed bis Series A (laut Fondsprofil)</t>
        </is>
      </c>
      <c r="I185" s="18" t="inlineStr">
        <is>
          <t>n/a</t>
        </is>
      </c>
      <c r="J185" s="16" t="inlineStr">
        <is>
          <t>n/a</t>
        </is>
      </c>
      <c r="K185" s="16" t="inlineStr">
        <is>
          <t>n/a (nicht verifizierbar - Website offline)</t>
        </is>
      </c>
      <c r="L185" s="18" t="inlineStr">
        <is>
          <t>Nein</t>
        </is>
      </c>
      <c r="M185" s="16" t="inlineStr">
        <is>
          <t>Reiner PropTech-/Real-Estate-Tech-Fonds: Digitalisierung der Immobilien- und Bauwirtschaft, LP-Basis aus Immobilienunternehmen und Family Offices.</t>
        </is>
      </c>
      <c r="N185" s="16" t="inlineStr">
        <is>
          <t>n/a - nicht verifizierbar, da Website nicht abrufbar</t>
        </is>
      </c>
      <c r="O185" s="16" t="inlineStr">
        <is>
          <t>Gering. Trainingsdaten waeren nur ueber Immobilien-Computer-Vision (z.B. Bauabnahme, Bildanalyse) indirekt relevant.</t>
        </is>
      </c>
      <c r="P185" s="16" t="inlineStr">
        <is>
          <t>-</t>
        </is>
      </c>
      <c r="Q185" s="16" t="inlineStr">
        <is>
          <t>n/a (Team nicht verifizierbar, Website offline)</t>
        </is>
      </c>
      <c r="R185" s="16" t="inlineStr">
        <is>
          <t>n/a</t>
        </is>
      </c>
      <c r="S185" s="16" t="inlineStr">
        <is>
          <t>n/a</t>
        </is>
      </c>
      <c r="T185" s="16" t="inlineStr">
        <is>
          <t>n/a</t>
        </is>
      </c>
      <c r="U185" s="16" t="inlineStr">
        <is>
          <t>Reiner PropTech-Sektorfonds ohne AI-/Data-These; zusaetzlich ist die Website aktuell nicht erreichbar, was auf eingeschraenkte Fondsaktivitaet hindeutet.</t>
        </is>
      </c>
      <c r="V185" s="16" t="inlineStr">
        <is>
          <t>SCHWERWIEGEND: proptech1.vc liefert 'Squarespace - Website Expired' bzw. HTTP 503 - Fondsstatus und Team nicht verifizierbar. Sektorthese passt nicht zu PathWize.</t>
        </is>
      </c>
      <c r="W185" s="16" t="inlineStr">
        <is>
          <t>Aktuell nicht ansprechen; erst nach Klaerung des Fondsstatus und nur mit einem konkreten Immobilien-Computer-Vision-Use-Case.</t>
        </is>
      </c>
      <c r="X185" s="18" t="n">
        <v>18</v>
      </c>
      <c r="Y185" s="18" t="n">
        <v>4</v>
      </c>
      <c r="Z185" s="18" t="n">
        <v>3</v>
      </c>
      <c r="AA185" s="18" t="n">
        <v>2</v>
      </c>
      <c r="AB185" s="18" t="n">
        <v>10</v>
      </c>
      <c r="AC185" s="15" t="inlineStr">
        <is>
          <t>Niedrig</t>
        </is>
      </c>
      <c r="AD185" s="15" t="inlineStr">
        <is>
          <t>Bestandsliste</t>
        </is>
      </c>
      <c r="AE185" s="16" t="inlineStr">
        <is>
          <t>https://www.proptech1.vc (aktuell nicht erreichbar / Squarespace 'Website Expired')</t>
        </is>
      </c>
      <c r="AF185" s="16" t="inlineStr">
        <is>
          <t>http://proptech1.vc/ (Statuspruefung 2026-07-28), https://www.proptech1.vc/ (HTTP 503)</t>
        </is>
      </c>
    </row>
    <row r="186">
      <c r="A186" s="27" t="n">
        <v>182</v>
      </c>
      <c r="B186" s="28" t="inlineStr">
        <is>
          <t>TVM Capital GmbH (TVM Capital Life Science)</t>
        </is>
      </c>
      <c r="C186" s="29" t="inlineStr">
        <is>
          <t>D</t>
        </is>
      </c>
      <c r="D186" s="29" t="n">
        <v>37</v>
      </c>
      <c r="E186" s="15" t="inlineStr">
        <is>
          <t>München (zweiter Standort Montreal)</t>
        </is>
      </c>
      <c r="F186" s="15" t="inlineStr">
        <is>
          <t>Deutschland / Kanada</t>
        </is>
      </c>
      <c r="G186" s="15" t="inlineStr">
        <is>
          <t>VC (Sektorspezialist Life Science)</t>
        </is>
      </c>
      <c r="H186" s="16" t="inlineStr">
        <is>
          <t>Early Stage bis Late Stage innerhalb Life Science (Single-Asset-Companies bis kommerzielle Phase)</t>
        </is>
      </c>
      <c r="I186" s="15" t="inlineStr">
        <is>
          <t>Ja – führt regelmäßig Runden an bzw. gründet Portfolio-Companies selbst</t>
        </is>
      </c>
      <c r="J186" s="16" t="inlineStr">
        <is>
          <t>n/a (Investments typischerweise zweistellige Mio.-Beträge über die Lebensdauer)</t>
        </is>
      </c>
      <c r="K186" s="16" t="inlineStr">
        <is>
          <t>ca. 900 Mio. USD Assets under Management</t>
        </is>
      </c>
      <c r="L186" s="18" t="inlineStr">
        <is>
          <t>Nein</t>
        </is>
      </c>
      <c r="M186" s="16" t="inlineStr">
        <is>
          <t>Ausschließlich Life Science: Therapeutika, Technologieplattformen, Medtech, Diagnostik, Digital Health; Partnerschaft mit Eli Lilly für frühe Wirkstoffentwicklung</t>
        </is>
      </c>
      <c r="N186" s="16" t="inlineStr">
        <is>
          <t>Smart Reporting (AI-gestütztes radiologisches Befundwesen, Zukauf von Fluency for Imaging 2025); ansonsten kein AI-/Data-Infrastruktur-Portfolio</t>
        </is>
      </c>
      <c r="O186" s="16" t="inlineStr">
        <is>
          <t>Gering – allenfalls indirekt über medizinische Bildannotation bei Smart Reporting; keine horizontale Datenstrategie</t>
        </is>
      </c>
      <c r="P186" s="16" t="inlineStr">
        <is>
          <t>Data-Infra-nah</t>
        </is>
      </c>
      <c r="Q186" s="16" t="inlineStr">
        <is>
          <t>n/a</t>
        </is>
      </c>
      <c r="R186" s="16" t="inlineStr">
        <is>
          <t>n/a</t>
        </is>
      </c>
      <c r="S186" s="16" t="inlineStr">
        <is>
          <t>n/a</t>
        </is>
      </c>
      <c r="T186" s="16" t="inlineStr">
        <is>
          <t>n/a (Kontaktformular auf tvm-capital.com)</t>
        </is>
      </c>
      <c r="U186" s="16" t="inlineStr">
        <is>
          <t>Reiner Life-Science-Spezialist mit Therapeutika-Schwerpunkt; eine horizontale Data-Labeling-Plattform fällt vollständig außerhalb des Mandats. Nur der AI-Radiologie-Case Smart Reporting zeigt überhaupt Software-Berührung.</t>
        </is>
      </c>
      <c r="V186" s="16" t="inlineStr">
        <is>
          <t>Striktes Life-Science-Mandat schließt B2B-Infrastruktur aus; kein Software-/SaaS-Track-Record; kapitalintensive Biotech-Logik passt nicht zu Pre-Seed-Software</t>
        </is>
      </c>
      <c r="W186" s="16" t="inlineStr">
        <is>
          <t>Nur mit einem dedizierten Healthcare-Vertical (medizinische Bild- und Pathologie-Annotation, MDR/HIPAA-konform) ansprechbar – sonst kein Ansatzpunkt.</t>
        </is>
      </c>
      <c r="X186" s="18" t="n">
        <v>15</v>
      </c>
      <c r="Y186" s="18" t="n">
        <v>3</v>
      </c>
      <c r="Z186" s="18" t="n">
        <v>3</v>
      </c>
      <c r="AA186" s="18" t="n">
        <v>7</v>
      </c>
      <c r="AB186" s="18" t="n">
        <v>9</v>
      </c>
      <c r="AC186" s="18" t="inlineStr">
        <is>
          <t>Hoch</t>
        </is>
      </c>
      <c r="AD186" s="15" t="inlineStr">
        <is>
          <t>Bestandsliste</t>
        </is>
      </c>
      <c r="AE186" s="16" t="inlineStr">
        <is>
          <t>https://tvm-capital.com/</t>
        </is>
      </c>
      <c r="AF186" s="16" t="inlineStr">
        <is>
          <t>https://tvm-capital.com/about-us/, https://www.crunchbase.com/organization/tvm-capital-life-science, https://www.globenewswire.com/news-release/2025/10/16/3167640/0/en/TVM-Capital-Life-Science-Portfolio-Company-Smart-Reporting-to-Acquire-Fluency-for-Imaging-Uniting-to-Create-Jacobian-and-Accelerate-AI-Powered-Reporting.html</t>
        </is>
      </c>
    </row>
    <row r="187">
      <c r="A187" s="27" t="n">
        <v>183</v>
      </c>
      <c r="B187" s="28" t="inlineStr">
        <is>
          <t>Cadence Growth Capital</t>
        </is>
      </c>
      <c r="C187" s="29" t="inlineStr">
        <is>
          <t>D</t>
        </is>
      </c>
      <c r="D187" s="29" t="n">
        <v>36</v>
      </c>
      <c r="E187" s="15" t="inlineStr">
        <is>
          <t>Muenchen (zusaetzlich Berlin)</t>
        </is>
      </c>
      <c r="F187" s="18" t="inlineStr">
        <is>
          <t>DE</t>
        </is>
      </c>
      <c r="G187" s="15" t="inlineStr">
        <is>
          <t>Growth Equity / Private Equity</t>
        </is>
      </c>
      <c r="H187" s="16" t="inlineStr">
        <is>
          <t>Growth (Wachstumsfinanzierung ab belastbarem Umsatz)</t>
        </is>
      </c>
      <c r="I187" s="15" t="inlineStr">
        <is>
          <t>Ja, im Growth-Segment</t>
        </is>
      </c>
      <c r="J187" s="16" t="inlineStr">
        <is>
          <t>n/a (Growth-Tickets, nicht oeffentlich ausgewiesen)</t>
        </is>
      </c>
      <c r="K187" s="16" t="inlineStr">
        <is>
          <t>n/a (Fund I, Groesse nicht oeffentlich)</t>
        </is>
      </c>
      <c r="L187" s="15" t="inlineStr">
        <is>
          <t>Teilweise</t>
        </is>
      </c>
      <c r="M187" s="16" t="inlineStr">
        <is>
          <t>Asset-light, skalierbare, technologiegetriebene B2B-Services und Software im DACH-Raum</t>
        </is>
      </c>
      <c r="N187" s="16" t="inlineStr">
        <is>
          <t>Rund 11 Beteiligungen mit B2B-Tech-Bezug; keine belegten AI-/Data-Infra-Kerninvestments</t>
        </is>
      </c>
      <c r="O187" s="16" t="inlineStr">
        <is>
          <t>Keine belegte Relevanz</t>
        </is>
      </c>
      <c r="P187" s="16" t="inlineStr">
        <is>
          <t>Data-Infra-nah</t>
        </is>
      </c>
      <c r="Q187" s="16" t="inlineStr">
        <is>
          <t>n/a</t>
        </is>
      </c>
      <c r="R187" s="16" t="inlineStr">
        <is>
          <t>n/a</t>
        </is>
      </c>
      <c r="S187" s="16" t="inlineStr">
        <is>
          <t>n/a</t>
        </is>
      </c>
      <c r="T187" s="16" t="inlineStr">
        <is>
          <t>Kontaktformular auf cadencegrowthcapital.com</t>
        </is>
      </c>
      <c r="U187" s="16" t="inlineStr">
        <is>
          <t>Reiner Growth-Investor fuer bereits skalierende B2B-Tech-Unternehmen im DACH-Raum; fuer eine Pre-Seed-/Seed-Runde von PathWize kommt der Fonds mehrere Finanzierungsphasen zu frueh.</t>
        </is>
      </c>
      <c r="V187" s="16" t="inlineStr">
        <is>
          <t>Kein Fruehphasenmandat, verlangt substanzielle wiederkehrende Umsaetze; kleines Team, geringes Dealvolumen</t>
        </is>
      </c>
      <c r="W187" s="16" t="inlineStr">
        <is>
          <t>Erst bei siebenstelligem ARR als spaeterer Wachstumsinvestor auf die Watchlist setzen, nicht fuer die aktuelle Runde ansprechen.</t>
        </is>
      </c>
      <c r="X187" s="18" t="n">
        <v>4</v>
      </c>
      <c r="Y187" s="18" t="n">
        <v>12</v>
      </c>
      <c r="Z187" s="18" t="n">
        <v>4</v>
      </c>
      <c r="AA187" s="18" t="n">
        <v>6</v>
      </c>
      <c r="AB187" s="18" t="n">
        <v>10</v>
      </c>
      <c r="AC187" s="15" t="inlineStr">
        <is>
          <t>Mittel</t>
        </is>
      </c>
      <c r="AD187" s="15" t="inlineStr">
        <is>
          <t>Bestandsliste</t>
        </is>
      </c>
      <c r="AE187" s="16" t="inlineStr">
        <is>
          <t>https://www.cadencegrowthcapital.com/</t>
        </is>
      </c>
      <c r="AF187" s="16" t="inlineStr">
        <is>
          <t>https://www.cadencegrowthcapital.com/, https://www.crunchbase.com/organization/cadence-growth-capital, https://tracxn.com/d/private-equity/cadence-growth-capital</t>
        </is>
      </c>
    </row>
    <row r="188">
      <c r="A188" s="27" t="n">
        <v>184</v>
      </c>
      <c r="B188" s="28" t="inlineStr">
        <is>
          <t>Axel Springer Digital Ventures</t>
        </is>
      </c>
      <c r="C188" s="29" t="inlineStr">
        <is>
          <t>D</t>
        </is>
      </c>
      <c r="D188" s="29" t="n">
        <v>35</v>
      </c>
      <c r="E188" s="15" t="inlineStr">
        <is>
          <t>Berlin (Axel-Springer-Strasse 65, 10888)</t>
        </is>
      </c>
      <c r="F188" s="18" t="inlineStr">
        <is>
          <t>DE</t>
        </is>
      </c>
      <c r="G188" s="15" t="inlineStr">
        <is>
          <t>Corporate VC</t>
        </is>
      </c>
      <c r="H188" s="16" t="inlineStr">
        <is>
          <t>Seed, Series A (Fruehphasen-Arm der Axel Springer SE)</t>
        </is>
      </c>
      <c r="I188" s="15" t="inlineStr">
        <is>
          <t>Nein bzw. selten - strategischer Co-Investor</t>
        </is>
      </c>
      <c r="J188" s="16" t="inlineStr">
        <is>
          <t>n/a (Drittquellen nennen unplausibel hohe Spannen; belastbare Angabe nicht auffindbar)</t>
        </is>
      </c>
      <c r="K188" s="16" t="inlineStr">
        <is>
          <t>n/a (100-prozentige Tochter der Axel Springer SE, Bilanzkapital statt eigenstaendiger Fonds); ca. 15 Investments</t>
        </is>
      </c>
      <c r="L188" s="18" t="inlineStr">
        <is>
          <t>Nein</t>
        </is>
      </c>
      <c r="M188" s="16" t="inlineStr">
        <is>
          <t>Rubrikenmaerkte/Classifieds, Marktplaetze, Marketing-Modelle und Digital Publishing - strategisch an das Kerngeschaeft der Axel Springer SE angebunden</t>
        </is>
      </c>
      <c r="N188" s="16" t="inlineStr">
        <is>
          <t>Keine AI-/Data-Infrastruktur-Investments belegt; Portfolio schwerpunktmaessig Consumer und Enterprise Applications (historisch Airbnb, Uber; zuletzt Wunderflats, Anzu)</t>
        </is>
      </c>
      <c r="O188" s="16" t="inlineStr">
        <is>
          <t>Gering: kein Infrastruktur- oder ML-Tooling-Mandat, allenfalls indirekt ueber Medien-Content-Anwendungsfaelle</t>
        </is>
      </c>
      <c r="P188" s="16" t="inlineStr">
        <is>
          <t>Data-Infra-nah</t>
        </is>
      </c>
      <c r="Q188" s="16" t="inlineStr">
        <is>
          <t>Luise Gruner</t>
        </is>
      </c>
      <c r="R188" s="16" t="inlineStr">
        <is>
          <t>Managing Director</t>
        </is>
      </c>
      <c r="S188" s="16" t="inlineStr">
        <is>
          <t>n/a</t>
        </is>
      </c>
      <c r="T188" s="16" t="inlineStr">
        <is>
          <t>Axel-Springer-Strasse 65, 10888 Berlin, Tel. +49 30 2591 78000; Pitch-Formular n/a</t>
        </is>
      </c>
      <c r="U188" s="16" t="inlineStr">
        <is>
          <t>Strategischer Corporate-VC mit Fokus auf Classifieds, Marktplaetze und Digital Publishing - Data Labeling zahlt nicht auf die Konzernstrategie ein. Zusaetzlich ist die Investitionstaetigkeit 2026 praktisch zum Erliegen gekommen.</t>
        </is>
      </c>
      <c r="V188" s="16" t="inlineStr">
        <is>
          <t>Kaum bzw. keine neuen Investments 2026 laut Tracxn; kein eigenstaendiger Fonds und damit keine gesicherte Dry Powder; strategische statt finanzieller Investmentlogik; kein oeffentlicher Pitch-Kanal</t>
        </is>
      </c>
      <c r="W188" s="16" t="inlineStr">
        <is>
          <t>Nur ueber einen konkreten Medien-Anwendungsfall sinnvoll, etwa Annotation redaktioneller Inhalte oder Trainingsdaten fuer Publishing-KI innerhalb der Axel-Springer-Gruppe.</t>
        </is>
      </c>
      <c r="X188" s="18" t="n">
        <v>15</v>
      </c>
      <c r="Y188" s="18" t="n">
        <v>6</v>
      </c>
      <c r="Z188" s="18" t="n">
        <v>3</v>
      </c>
      <c r="AA188" s="18" t="n">
        <v>3</v>
      </c>
      <c r="AB188" s="18" t="n">
        <v>8</v>
      </c>
      <c r="AC188" s="15" t="inlineStr">
        <is>
          <t>Mittel</t>
        </is>
      </c>
      <c r="AD188" s="15" t="inlineStr">
        <is>
          <t>Bestandsliste</t>
        </is>
      </c>
      <c r="AE188" s="16" t="inlineStr">
        <is>
          <t>https://www.axelspringer.com/de/axel-springer-digital-ventures</t>
        </is>
      </c>
      <c r="AF188" s="16" t="inlineStr">
        <is>
          <t>https://www.axelspringer.com/de/axel-springer-digital-ventures, https://tracxn.com/d/venture-capital/axel-springer-digital-ventures/__Ecso9QQKb825he6GNHZqdZBbsr5uHL0T90sjHUy31iE, https://www.crunchbase.com/organization/axel-springer-digital-ventures-inc, https://app.dealroom.co/investors/axel_springer_digital_ventures</t>
        </is>
      </c>
    </row>
    <row r="189">
      <c r="A189" s="27" t="n">
        <v>185</v>
      </c>
      <c r="B189" s="28" t="inlineStr">
        <is>
          <t>Found Fair</t>
        </is>
      </c>
      <c r="C189" s="29" t="inlineStr">
        <is>
          <t>D</t>
        </is>
      </c>
      <c r="D189" s="29" t="n">
        <v>35</v>
      </c>
      <c r="E189" s="15" t="inlineStr">
        <is>
          <t>Berlin</t>
        </is>
      </c>
      <c r="F189" s="15" t="inlineStr">
        <is>
          <t>Deutschland</t>
        </is>
      </c>
      <c r="G189" s="15" t="inlineStr">
        <is>
          <t>Venture Builder / Company Builder (kein klassischer VC-Fonds)</t>
        </is>
      </c>
      <c r="H189" s="16" t="inlineStr">
        <is>
          <t>Pre-Seed und Seed, überwiegend jedoch in selbst gegründeten bzw. eigenen Beteiligungen</t>
        </is>
      </c>
      <c r="I189" s="15" t="inlineStr">
        <is>
          <t>Teilweise - als Company Builder eher Gründungsgesellschafter als externer Runden-Lead</t>
        </is>
      </c>
      <c r="J189" s="16" t="inlineStr">
        <is>
          <t>n/a (nicht veröffentlicht)</t>
        </is>
      </c>
      <c r="K189" s="16" t="inlineStr">
        <is>
          <t>n/a - kein ausgewiesener Fonds; über 150 Mitarbeitende im Verbund, 8 aktive Startups</t>
        </is>
      </c>
      <c r="L189" s="18" t="inlineStr">
        <is>
          <t>Nein</t>
        </is>
      </c>
      <c r="M189" s="16" t="inlineStr">
        <is>
          <t>Digitale Transformation der Bauwirtschaft und Green Building; historisch zusätzlich Fintech, AdTech, MedTech, Cloud/SaaS, IT-Security und E-Commerce. Aufbau eigener operativer Unternehmen seit 2010.</t>
        </is>
      </c>
      <c r="N189" s="16" t="inlineStr">
        <is>
          <t>n/a - aktuelle Portfoliounternehmen sind Meister Systems (Baustellen-Management-App) und Meister1 (digitale Angebotserstellung für Handwerk); keine belegten AI-/Data-Infrastruktur-Beteiligungen</t>
        </is>
      </c>
      <c r="O189" s="16" t="inlineStr">
        <is>
          <t>Gering: kein Data-/AI-Investmentfokus, kein MLOps- oder Annotation-Bezug, Schwerpunkt Bau- und Handwerkssoftware.</t>
        </is>
      </c>
      <c r="P189" s="16" t="inlineStr">
        <is>
          <t>Data-Infra-nah</t>
        </is>
      </c>
      <c r="Q189" s="16" t="inlineStr">
        <is>
          <t>Burckhardt Bonello</t>
        </is>
      </c>
      <c r="R189" s="16" t="inlineStr">
        <is>
          <t>CEO, Gründer und Investor (weiterer Partner: Philip Conrath)</t>
        </is>
      </c>
      <c r="S189" s="16" t="inlineStr">
        <is>
          <t>n/a</t>
        </is>
      </c>
      <c r="T189" s="16" t="inlineStr">
        <is>
          <t>info@foundfair.de ; Telefon +49 30 20006647 ; Große Präsidentenstr. 10, 10178 Berlin</t>
        </is>
      </c>
      <c r="U189" s="16" t="inlineStr">
        <is>
          <t>Found Fair ist ein Company Builder für Bau- und Green-Building-Software, der überwiegend eigene Unternehmen gründet statt extern in Startups zu investieren - weder Modell noch Sektorthese passen zu PathWize.</t>
        </is>
      </c>
      <c r="V189" s="16" t="inlineStr">
        <is>
          <t>Kein ausgewiesener Fonds und keine erkennbare externe Investitionstätigkeit; Builder-Modelle fordern typischerweise hohe Anteile. Kein AI-/Data-Bezug.</t>
        </is>
      </c>
      <c r="W189" s="16" t="inlineStr">
        <is>
          <t>Nicht als Investor priorisieren; allenfalls als potenzieller Pilotkunde für annotierte Bau- und Bilddaten der Meister-Produkte ansprechen.</t>
        </is>
      </c>
      <c r="X189" s="18" t="n">
        <v>12</v>
      </c>
      <c r="Y189" s="18" t="n">
        <v>6</v>
      </c>
      <c r="Z189" s="18" t="n">
        <v>3</v>
      </c>
      <c r="AA189" s="18" t="n">
        <v>4</v>
      </c>
      <c r="AB189" s="18" t="n">
        <v>10</v>
      </c>
      <c r="AC189" s="15" t="inlineStr">
        <is>
          <t>Mittel</t>
        </is>
      </c>
      <c r="AD189" s="15" t="inlineStr">
        <is>
          <t>Bestandsliste</t>
        </is>
      </c>
      <c r="AE189" s="16" t="inlineStr">
        <is>
          <t>https://foundfair.de/</t>
        </is>
      </c>
      <c r="AF189" s="16" t="inlineStr">
        <is>
          <t>https://foundfair.de/, https://pitchbook.com/profiles/investor/56382-94, https://www.cbinsights.com/company/found-fair, https://www.dnb.com/business-directory/company-profiles.found_fair_ventures_gmbh.600c97992149935b2e3b8ee05af1245b.html</t>
        </is>
      </c>
    </row>
    <row r="190">
      <c r="A190" s="27" t="n">
        <v>186</v>
      </c>
      <c r="B190" s="28" t="inlineStr">
        <is>
          <t>Trill Impact</t>
        </is>
      </c>
      <c r="C190" s="29" t="inlineStr">
        <is>
          <t>D</t>
        </is>
      </c>
      <c r="D190" s="29" t="n">
        <v>31</v>
      </c>
      <c r="E190" s="15" t="inlineStr">
        <is>
          <t>Stockholm</t>
        </is>
      </c>
      <c r="F190" s="15" t="inlineStr">
        <is>
          <t>Schweden (Präsenz u.a. in Deutschland/München)</t>
        </is>
      </c>
      <c r="G190" s="15" t="inlineStr">
        <is>
          <t>Impact-Investor (PE + Ventures-Arm)</t>
        </is>
      </c>
      <c r="H190" s="16" t="inlineStr">
        <is>
          <t>Ventures-Fonds: Early Stage (Seed/Series A); Kernhaus: Mid-Market-PE, Growth, Buyout</t>
        </is>
      </c>
      <c r="I190" s="15" t="inlineStr">
        <is>
          <t>Ja – im Ventures-Fonds als Lead/Co-Lead aktiv</t>
        </is>
      </c>
      <c r="J190" s="16" t="inlineStr">
        <is>
          <t>n/a (Ventures-Tickets im einstelligen Mio.-EUR-Bereich)</t>
        </is>
      </c>
      <c r="K190" s="16" t="inlineStr">
        <is>
          <t>Trill Impact Ventures Fund I: ca. 90 Mio. EUR; Gruppen-AUM deutlich höher (PE-Fonds)</t>
        </is>
      </c>
      <c r="L190" s="18" t="inlineStr">
        <is>
          <t>Nein</t>
        </is>
      </c>
      <c r="M190" s="16" t="inlineStr">
        <is>
          <t>Impact-Investing mit thematischem Schwerpunkt Life Science / Health (unterversorgte Patientengruppen) und Green Technology / Klima</t>
        </is>
      </c>
      <c r="N190" s="16" t="inlineStr">
        <is>
          <t>Soil Capital, May Health, MinervaX – Agrar, Medizintechnik, Drug Discovery; kein belegtes AI-/Data-Infrastruktur-Investment</t>
        </is>
      </c>
      <c r="O190" s="16" t="inlineStr">
        <is>
          <t>Sehr gering – reiner Impact-/Health-/Climate-Fokus, keine Berührung mit Trainingsdaten oder MLOps</t>
        </is>
      </c>
      <c r="P190" s="16" t="inlineStr">
        <is>
          <t>Data-Infra-nah</t>
        </is>
      </c>
      <c r="Q190" s="16" t="inlineStr">
        <is>
          <t>n/a</t>
        </is>
      </c>
      <c r="R190" s="16" t="inlineStr">
        <is>
          <t>n/a</t>
        </is>
      </c>
      <c r="S190" s="16" t="inlineStr">
        <is>
          <t>n/a</t>
        </is>
      </c>
      <c r="T190" s="16" t="inlineStr">
        <is>
          <t>n/a (Kontaktformular auf trillimpact.com)</t>
        </is>
      </c>
      <c r="U190" s="16" t="inlineStr">
        <is>
          <t>Reiner Impact-Investor mit Health- und Green-Tech-These; das Kernhaus macht Growth/Buyout, nur der kleine Ventures-Fonds ist früh unterwegs. Kein Anknüpfungspunkt zu Data Labeling oder AI-Infrastruktur.</t>
        </is>
      </c>
      <c r="V190" s="16" t="inlineStr">
        <is>
          <t>Kein AI-/Software-Track-Record; Impact-Mandat erfordert messbare ESG-Wirkung; Schwerpunkt Nordics statt DACH</t>
        </is>
      </c>
      <c r="W190" s="16" t="inlineStr">
        <is>
          <t>Nur sinnvoll, wenn PathWize eine harte Impact-Story (z.B. faire Arbeitsbedingungen und Löhne in der Datenannotation) mit messbaren KPIs vorlegen kann.</t>
        </is>
      </c>
      <c r="X190" s="18" t="n">
        <v>10</v>
      </c>
      <c r="Y190" s="18" t="n">
        <v>5</v>
      </c>
      <c r="Z190" s="18" t="n">
        <v>2</v>
      </c>
      <c r="AA190" s="18" t="n">
        <v>6</v>
      </c>
      <c r="AB190" s="18" t="n">
        <v>8</v>
      </c>
      <c r="AC190" s="15" t="inlineStr">
        <is>
          <t>Mittel</t>
        </is>
      </c>
      <c r="AD190" s="15" t="inlineStr">
        <is>
          <t>Bestandsliste</t>
        </is>
      </c>
      <c r="AE190" s="16" t="inlineStr">
        <is>
          <t>https://www.trillimpact.com/</t>
        </is>
      </c>
      <c r="AF190" s="16" t="inlineStr">
        <is>
          <t>https://www.trillimpact.com/ventures, https://www.trillimpact.com/insights/trill-impact-has-closed-its-inaugural-ventures-fund, https://www.crunchbase.com/organization/trill-impact</t>
        </is>
      </c>
    </row>
    <row r="191">
      <c r="A191" s="27" t="n">
        <v>187</v>
      </c>
      <c r="B191" s="28" t="inlineStr">
        <is>
          <t>Elevat3</t>
        </is>
      </c>
      <c r="C191" s="29" t="inlineStr">
        <is>
          <t>D</t>
        </is>
      </c>
      <c r="D191" s="29" t="n">
        <v>30</v>
      </c>
      <c r="E191" s="15" t="inlineStr">
        <is>
          <t>n/a (deutschsprachiger Raum; Muttergesellschaft Apeiron Investment Group, Malta/Monaco)</t>
        </is>
      </c>
      <c r="F191" s="15" t="inlineStr">
        <is>
          <t>Deutschland/Malta</t>
        </is>
      </c>
      <c r="G191" s="15" t="inlineStr">
        <is>
          <t>Growth-Venture-Fonds (Apeiron Investment Group, strategischer Partner: Founders Fund/Peter Thiel)</t>
        </is>
      </c>
      <c r="H191" s="16" t="inlineStr">
        <is>
          <t>Growth Venture (Wachstumsphase, i.d.R. nach Series A) - nicht Pre-Seed/Seed</t>
        </is>
      </c>
      <c r="I191" s="18" t="inlineStr">
        <is>
          <t>n/a</t>
        </is>
      </c>
      <c r="J191" s="16" t="inlineStr">
        <is>
          <t>n/a</t>
        </is>
      </c>
      <c r="K191" s="16" t="inlineStr">
        <is>
          <t>Elevat3 Capital I: ca. EUR 100 Mio. (EUR 20 Mio. von Apeiron, EUR 80 Mio. extern, u.a. Peter Thiel)</t>
        </is>
      </c>
      <c r="L191" s="18" t="inlineStr">
        <is>
          <t>Nein</t>
        </is>
      </c>
      <c r="M191" s="16" t="inlineStr">
        <is>
          <t>Tech-Startups im deutschsprachigen Raum mit Fokus auf Life Sciences, Deep Tech, FinTech, PropTech und InsurTech; Thiel-nahe 'Contrarian'-Deep-Tech-Logik.</t>
        </is>
      </c>
      <c r="N191" s="16" t="inlineStr">
        <is>
          <t>n/a - belegte Positionen sind Neodigital (Digitalversicherer), NAGA Group (FinTech) und im Umfeld ATAI Life Sciences; keine belegten AI-/Data-Infra-Investments</t>
        </is>
      </c>
      <c r="O191" s="16" t="inlineStr">
        <is>
          <t>Gering. Kein erkennbarer Bezug zu ML-Trainingsdaten oder Data-Infrastruktur.</t>
        </is>
      </c>
      <c r="P191" s="16" t="inlineStr">
        <is>
          <t>Data-Infra-nah</t>
        </is>
      </c>
      <c r="Q191" s="16" t="inlineStr">
        <is>
          <t>Christian Angermayer</t>
        </is>
      </c>
      <c r="R191" s="16" t="inlineStr">
        <is>
          <t>Gruender von Apeiron Investment Group / Initiator von Elevat3</t>
        </is>
      </c>
      <c r="S191" s="16" t="inlineStr">
        <is>
          <t>n/a</t>
        </is>
      </c>
      <c r="T191" s="16" t="inlineStr">
        <is>
          <t>n/a (Website liefert keine oeffentlichen Kontaktdaten; JS-only Seite)</t>
        </is>
      </c>
      <c r="U191" s="16" t="inlineStr">
        <is>
          <t>Elevat3 ist ein Growth-Venture-Vehikel (nach Series A) mit LifeScience-/FinTech-Schwerpunkt und ohne belegte AI-/Data-Infra-Deals - fuer eine Pre-Seed/Seed-Runde von PathWize praktisch irrelevant.</t>
        </is>
      </c>
      <c r="V191" s="16" t="inlineStr">
        <is>
          <t>Website ohne abrufbare Inhalte/Kontakt; kaum oeffentliche Deal-Aktivitaet seit 2022 auffindbar; Stage passt nicht; starke Abhaengigkeit von einem Family Office.</t>
        </is>
      </c>
      <c r="W191" s="16" t="inlineStr">
        <is>
          <t>Erst bei einer spaeteren Wachstumsrunde relevant - dann ueber den Apeiron-/Founders-Fund-Kontakt und ein Deep-Tech-Narrativ zu proprietaeren Trainingsdaten.</t>
        </is>
      </c>
      <c r="X191" s="18" t="n">
        <v>7</v>
      </c>
      <c r="Y191" s="18" t="n">
        <v>8</v>
      </c>
      <c r="Z191" s="18" t="n">
        <v>3</v>
      </c>
      <c r="AA191" s="18" t="n">
        <v>4</v>
      </c>
      <c r="AB191" s="18" t="n">
        <v>8</v>
      </c>
      <c r="AC191" s="15" t="inlineStr">
        <is>
          <t>Niedrig</t>
        </is>
      </c>
      <c r="AD191" s="15" t="inlineStr">
        <is>
          <t>Bestandsliste</t>
        </is>
      </c>
      <c r="AE191" s="16" t="inlineStr">
        <is>
          <t>https://www.elevat3.com</t>
        </is>
      </c>
      <c r="AF191" s="16" t="inlineStr">
        <is>
          <t>https://www.cnbc.com/2020/12/07/peter-thiels-founders-fund-partners-with-apeirons-elevat3-tech-fund.html, https://www.siliconrepublic.com/start-ups/elevat3-founders-fund-peter-thiel-christian-angermayer, https://sifted.eu/articles/peter-thiel-european-investments</t>
        </is>
      </c>
    </row>
    <row r="192">
      <c r="A192" s="27" t="n">
        <v>188</v>
      </c>
      <c r="B192" s="28" t="inlineStr">
        <is>
          <t>EMH Partners</t>
        </is>
      </c>
      <c r="C192" s="29" t="inlineStr">
        <is>
          <t>D</t>
        </is>
      </c>
      <c r="D192" s="29" t="n">
        <v>28</v>
      </c>
      <c r="E192" s="15" t="inlineStr">
        <is>
          <t>München</t>
        </is>
      </c>
      <c r="F192" s="15" t="inlineStr">
        <is>
          <t>Deutschland</t>
        </is>
      </c>
      <c r="G192" s="15" t="inlineStr">
        <is>
          <t>Growth-Equity / Private Equity</t>
        </is>
      </c>
      <c r="H192" s="16" t="inlineStr">
        <is>
          <t>Growth / Buyout (etablierte, profitable Tech-Unternehmen)</t>
        </is>
      </c>
      <c r="I192" s="15" t="inlineStr">
        <is>
          <t>Ja (Minderheits- und Mehrheitsbeteiligungen, 25-75%)</t>
        </is>
      </c>
      <c r="J192" s="16" t="inlineStr">
        <is>
          <t>ca. 50-200 Mio. EUR pro Investment</t>
        </is>
      </c>
      <c r="K192" s="16" t="inlineStr">
        <is>
          <t>über 1,5 Mrd. EUR committed capital</t>
        </is>
      </c>
      <c r="L192" s="15" t="inlineStr">
        <is>
          <t>Teilweise</t>
        </is>
      </c>
      <c r="M192" s="16" t="inlineStr">
        <is>
          <t>Technologiegetriebene europäische Mittelstandsunternehmen mit Fokus DACH; Software, Hardware, MedTech, Enterprise-Lösungen; Digitalisierung des Mittelstands</t>
        </is>
      </c>
      <c r="N192" s="16" t="inlineStr">
        <is>
          <t>Markup AI, Snke (AI/Big-Data in HealthTech), Stonebranch (Automatisierung), Brainlab, Native Instruments, DIGITEC, Cleverbridge</t>
        </is>
      </c>
      <c r="O192" s="16" t="inlineStr">
        <is>
          <t>Gering - keine Investments in Trainingsdaten, Annotation oder ML-Infrastruktur belegbar; Fokus auf profitable Softwareunternehmen mit zweistelligen Mio.-Umsätzen</t>
        </is>
      </c>
      <c r="P192" s="16" t="inlineStr">
        <is>
          <t>-</t>
        </is>
      </c>
      <c r="Q192" s="16" t="inlineStr">
        <is>
          <t>n/a</t>
        </is>
      </c>
      <c r="R192" s="16" t="inlineStr">
        <is>
          <t>n/a</t>
        </is>
      </c>
      <c r="S192" s="16" t="inlineStr">
        <is>
          <t>n/a</t>
        </is>
      </c>
      <c r="T192" s="16" t="inlineStr">
        <is>
          <t>mail@emh.com</t>
        </is>
      </c>
      <c r="U192" s="16" t="inlineStr">
        <is>
          <t>EMH ist ein Growth-Equity-Investor mit Tickets von 50-200 Mio. EUR in bereits profitable Unternehmen und damit strukturell inkompatibel mit einer Pre-Seed/Seed/Series-A-Runde von PathWize. AI wird nur punktuell (Markup AI, Snke) adressiert, eine Data-Infrastruktur-These fehlt.</t>
        </is>
      </c>
      <c r="V192" s="16" t="inlineStr">
        <is>
          <t>Kein Frühphaseninvestor; Mindestticket weit über PathWize-Bedarf; verlangt Profitabilität und 5-50 Mio. EUR+ Umsatz; keine AI-/Data-Infra-These</t>
        </is>
      </c>
      <c r="W192" s="16" t="inlineStr">
        <is>
          <t>Erst in mehreren Jahren relevant - PathWize sollte EMH als potenziellen Growth-/Buyout-Partner für die Zeit nach Erreichen von 10 Mio. EUR ARR und Profitabilität vormerken, nicht jetzt ansprechen.</t>
        </is>
      </c>
      <c r="X192" s="18" t="n">
        <v>2</v>
      </c>
      <c r="Y192" s="18" t="n">
        <v>8</v>
      </c>
      <c r="Z192" s="18" t="n">
        <v>5</v>
      </c>
      <c r="AA192" s="18" t="n">
        <v>3</v>
      </c>
      <c r="AB192" s="18" t="n">
        <v>10</v>
      </c>
      <c r="AC192" s="18" t="inlineStr">
        <is>
          <t>Hoch</t>
        </is>
      </c>
      <c r="AD192" s="15" t="inlineStr">
        <is>
          <t>Bestandsliste</t>
        </is>
      </c>
      <c r="AE192" s="16" t="inlineStr">
        <is>
          <t>https://emh.com/</t>
        </is>
      </c>
      <c r="AF192" s="16" t="inlineStr">
        <is>
          <t>https://emh.com/, https://emh.com/investments/, https://www.crunchbase.com/organization/european-media-holding-ag, https://tracxn.com/d/private-equity/emhpartners</t>
        </is>
      </c>
    </row>
    <row r="193">
      <c r="A193" s="27" t="n">
        <v>189</v>
      </c>
      <c r="B193" s="28" t="inlineStr">
        <is>
          <t>VAERING</t>
        </is>
      </c>
      <c r="C193" s="29" t="inlineStr">
        <is>
          <t>D</t>
        </is>
      </c>
      <c r="D193" s="29" t="n">
        <v>24</v>
      </c>
      <c r="E193" s="15" t="inlineStr">
        <is>
          <t>Hamburg</t>
        </is>
      </c>
      <c r="F193" s="15" t="inlineStr">
        <is>
          <t>Deutschland</t>
        </is>
      </c>
      <c r="G193" s="15" t="inlineStr">
        <is>
          <t>Family Office / Familienholding (Unternehmerfamilie hinter KAEFER)</t>
        </is>
      </c>
      <c r="H193" s="16" t="inlineStr">
        <is>
          <t>Etablierte mittelständische Unternehmen, qualifizierte Minderheits- bis Mehrheitsbeteiligungen (kein klassisches Venture)</t>
        </is>
      </c>
      <c r="I193" s="15" t="inlineStr">
        <is>
          <t>Ja – als Mehrheits-/Ankerinvestor bei Beteiligungen, aber nicht in VC-Finanzierungsrunden</t>
        </is>
      </c>
      <c r="J193" s="16" t="inlineStr">
        <is>
          <t>n/a</t>
        </is>
      </c>
      <c r="K193" s="16" t="inlineStr">
        <is>
          <t>n/a (Evergreen-Familienholding, gegründet 2021)</t>
        </is>
      </c>
      <c r="L193" s="18" t="inlineStr">
        <is>
          <t>Nein</t>
        </is>
      </c>
      <c r="M193" s="16" t="inlineStr">
        <is>
          <t>Nachhaltigkeitsgetriebene mittelständische Unternehmen in Europa; Buy-and-hold mit langfristigem Horizont, kein Exit-Fokus</t>
        </is>
      </c>
      <c r="N193" s="16" t="inlineStr">
        <is>
          <t>n/a – kein belegtes AI-, Data-Infrastruktur- oder Software-Investment</t>
        </is>
      </c>
      <c r="O193" s="16" t="inlineStr">
        <is>
          <t>Sehr gering – Mittelstands-Beteiligungsmodell ohne Tech-Venture-Logik</t>
        </is>
      </c>
      <c r="P193" s="16" t="inlineStr">
        <is>
          <t>Data-Infra-nah</t>
        </is>
      </c>
      <c r="Q193" s="16" t="inlineStr">
        <is>
          <t>Moritz Koch</t>
        </is>
      </c>
      <c r="R193" s="16" t="inlineStr">
        <is>
          <t>Co-Geschäftsführer VAERING (neben Claas Fierlings); Investment Manager u.a. Torben Nowak</t>
        </is>
      </c>
      <c r="S193" s="16" t="inlineStr">
        <is>
          <t>n/a</t>
        </is>
      </c>
      <c r="T193" s="16" t="inlineStr">
        <is>
          <t>n/a (Kontakt über vaering.de)</t>
        </is>
      </c>
      <c r="U193" s="16" t="inlineStr">
        <is>
          <t>Familienholding für etablierte, nachhaltigkeitsorientierte Mittelständler mit Mehrheitsbeteiligungen – kein Pre-Seed-/Seed-Venture-Investor. Kein AI- oder Software-Track-Record.</t>
        </is>
      </c>
      <c r="V193" s="16" t="inlineStr">
        <is>
          <t>Falsche Assetklasse (Buy-and-hold-Beteiligungen statt VC); kein Frühphasen-Mandat; keine Tech-These</t>
        </is>
      </c>
      <c r="W193" s="16" t="inlineStr">
        <is>
          <t>Nicht empfohlen – allenfalls sehr viel später als strategischer Langfrist-Ankerinvestor bei bereits profitablem Geschäftsmodell.</t>
        </is>
      </c>
      <c r="X193" s="18" t="n">
        <v>3</v>
      </c>
      <c r="Y193" s="18" t="n">
        <v>4</v>
      </c>
      <c r="Z193" s="18" t="n">
        <v>2</v>
      </c>
      <c r="AA193" s="18" t="n">
        <v>5</v>
      </c>
      <c r="AB193" s="18" t="n">
        <v>10</v>
      </c>
      <c r="AC193" s="15" t="inlineStr">
        <is>
          <t>Mittel</t>
        </is>
      </c>
      <c r="AD193" s="15" t="inlineStr">
        <is>
          <t>Bestandsliste</t>
        </is>
      </c>
      <c r="AE193" s="16" t="inlineStr">
        <is>
          <t>https://www.vaering.de/</t>
        </is>
      </c>
      <c r="AF193" s="16" t="inlineStr">
        <is>
          <t>https://www.vaering.de/, https://www.vaering.de/beteiligungen, https://pitchbook.com/profiles/investor/521535-97</t>
        </is>
      </c>
    </row>
    <row r="194">
      <c r="A194" s="27" t="n">
        <v>190</v>
      </c>
      <c r="B194" s="28" t="inlineStr">
        <is>
          <t>Flex Capital</t>
        </is>
      </c>
      <c r="C194" s="29" t="inlineStr">
        <is>
          <t>D</t>
        </is>
      </c>
      <c r="D194" s="29" t="n">
        <v>23</v>
      </c>
      <c r="E194" s="15" t="inlineStr">
        <is>
          <t>Berlin (Büro München)</t>
        </is>
      </c>
      <c r="F194" s="15" t="inlineStr">
        <is>
          <t>Deutschland</t>
        </is>
      </c>
      <c r="G194" s="15" t="inlineStr">
        <is>
          <t>Operational Private Equity / Software-Buyout</t>
        </is>
      </c>
      <c r="H194" s="16" t="inlineStr">
        <is>
          <t>Buyout, Mehrheitsbeteiligungen, Nachfolge, Carve-outs, MBO</t>
        </is>
      </c>
      <c r="I194" s="15" t="inlineStr">
        <is>
          <t>Ja (übernimmt Mehrheiten, keine VC-Runden)</t>
        </is>
      </c>
      <c r="J194" s="16" t="inlineStr">
        <is>
          <t>Zielunternehmen mit 5-50 Mio. EUR Umsatz, typisch ca. 6-7 Mio. EUR Umsatz und ca. 2 Mio. EUR EBITDA</t>
        </is>
      </c>
      <c r="K194" s="16" t="inlineStr">
        <is>
          <t>ca. 426 Mio. EUR AUM; Fund I 126 Mio. EUR (2019), Fund II 300 Mio. EUR</t>
        </is>
      </c>
      <c r="L194" s="18" t="inlineStr">
        <is>
          <t>Nein</t>
        </is>
      </c>
      <c r="M194" s="16" t="inlineStr">
        <is>
          <t>Bootstrapped, profitable Software- und Tech-Unternehmen im DACH-Mittelstand; Buy-and-Build-Plattformen in vertikalen Software-Nischen mit 30-köpfigem Operating-Team</t>
        </is>
      </c>
      <c r="N194" s="16" t="inlineStr">
        <is>
          <t>Keine belegten AI-/Data-Infra-Investments; Portfolio besteht aus über einem Dutzend vertikaler Software-Unternehmen im DACH-Mittelstand</t>
        </is>
      </c>
      <c r="O194" s="16" t="inlineStr">
        <is>
          <t>Keine - Flex kauft profitable, etablierte Softwarefirmen und finanziert keine Startups</t>
        </is>
      </c>
      <c r="P194" s="16" t="inlineStr">
        <is>
          <t>Data-Infra-nah</t>
        </is>
      </c>
      <c r="Q194" s="16" t="inlineStr">
        <is>
          <t>Christoph Jost</t>
        </is>
      </c>
      <c r="R194" s="16" t="inlineStr">
        <is>
          <t>Gründungspartner (gemeinsam mit Peter Waleczek)</t>
        </is>
      </c>
      <c r="S194" s="16" t="inlineStr">
        <is>
          <t>n/a</t>
        </is>
      </c>
      <c r="T194" s="16" t="inlineStr">
        <is>
          <t>kontakt@flex.capital</t>
        </is>
      </c>
      <c r="U194" s="16" t="inlineStr">
        <is>
          <t>Flex Capital ist ein Buyout-Fonds, der Mehrheiten an profitablen, bootstrapped Softwarefirmen mit 5-50 Mio. EUR Umsatz übernimmt und damit keinerlei Venture-Finanzierung anbietet. Es gibt weder eine AI-/Data-These noch Frühphasen-Tickets.</t>
        </is>
      </c>
      <c r="V194" s="16" t="inlineStr">
        <is>
          <t>Kein Venture-Investor; verlangt Profitabilität und Mehrheitsübernahme; keine AI-/Data-Infra-These; für ein Pre-Seed-Startup vollständig ungeeignet</t>
        </is>
      </c>
      <c r="W194" s="16" t="inlineStr">
        <is>
          <t>Aktuell nicht ansprechen - Flex wäre erst in vielen Jahren als Exit-Käufer für ein profitables, bootstrapped PathWize relevant.</t>
        </is>
      </c>
      <c r="X194" s="18" t="n">
        <v>0</v>
      </c>
      <c r="Y194" s="18" t="n">
        <v>6</v>
      </c>
      <c r="Z194" s="18" t="n">
        <v>3</v>
      </c>
      <c r="AA194" s="18" t="n">
        <v>4</v>
      </c>
      <c r="AB194" s="18" t="n">
        <v>10</v>
      </c>
      <c r="AC194" s="18" t="inlineStr">
        <is>
          <t>Hoch</t>
        </is>
      </c>
      <c r="AD194" s="15" t="inlineStr">
        <is>
          <t>Bestandsliste</t>
        </is>
      </c>
      <c r="AE194" s="16" t="inlineStr">
        <is>
          <t>https://www.flex.capital/en/</t>
        </is>
      </c>
      <c r="AF194" s="16" t="inlineStr">
        <is>
          <t>https://www.flex.capital/en/, https://www.flex.capital/en/our-investment-approach/, https://www.gp-intel.com/gp/flex-capital, https://rollupeurope.com/p/flexing-berlin-germanys-smartest-software-buy-builder</t>
        </is>
      </c>
    </row>
    <row r="195">
      <c r="A195" s="27" t="n">
        <v>191</v>
      </c>
      <c r="B195" s="28" t="inlineStr">
        <is>
          <t>Human Impact Capital</t>
        </is>
      </c>
      <c r="C195" s="29" t="inlineStr">
        <is>
          <t>D</t>
        </is>
      </c>
      <c r="D195" s="29" t="n">
        <v>18</v>
      </c>
      <c r="E195" s="18" t="inlineStr">
        <is>
          <t>n/a</t>
        </is>
      </c>
      <c r="F195" s="18" t="inlineStr">
        <is>
          <t>n/a</t>
        </is>
      </c>
      <c r="G195" s="15" t="inlineStr">
        <is>
          <t>n/a (vermutlich Impact-/Frueh-Phasen-Investor - nicht verifizierbar)</t>
        </is>
      </c>
      <c r="H195" s="16" t="inlineStr">
        <is>
          <t>n/a</t>
        </is>
      </c>
      <c r="I195" s="18" t="inlineStr">
        <is>
          <t>n/a</t>
        </is>
      </c>
      <c r="J195" s="16" t="inlineStr">
        <is>
          <t>n/a</t>
        </is>
      </c>
      <c r="K195" s="16" t="inlineStr">
        <is>
          <t>n/a</t>
        </is>
      </c>
      <c r="L195" s="18" t="inlineStr">
        <is>
          <t>Nein</t>
        </is>
      </c>
      <c r="M195" s="16" t="inlineStr">
        <is>
          <t>n/a - keine belastbare oeffentliche Quelle auffindbar; der Name deutet auf einen Impact-/Human-Capital-Fokus hin, was ohne Beleg jedoch nicht bewertbar ist.</t>
        </is>
      </c>
      <c r="N195" s="16" t="inlineStr">
        <is>
          <t>n/a</t>
        </is>
      </c>
      <c r="O195" s="16" t="inlineStr">
        <is>
          <t>n/a - nicht bewertbar.</t>
        </is>
      </c>
      <c r="P195" s="16" t="inlineStr">
        <is>
          <t>-</t>
        </is>
      </c>
      <c r="Q195" s="16" t="inlineStr">
        <is>
          <t>n/a</t>
        </is>
      </c>
      <c r="R195" s="16" t="inlineStr">
        <is>
          <t>n/a</t>
        </is>
      </c>
      <c r="S195" s="16" t="inlineStr">
        <is>
          <t>n/a</t>
        </is>
      </c>
      <c r="T195" s="16" t="inlineStr">
        <is>
          <t>n/a</t>
        </is>
      </c>
      <c r="U195" s="16" t="inlineStr">
        <is>
          <t>Zu diesem Namen liess sich keine aktive, verifizierbare VC-Organisation belegen (Website nicht erreichbar, keine bestaetigten Deals) - ein Fit ist daher nicht bewertbar.</t>
        </is>
      </c>
      <c r="V195" s="16" t="inlineStr">
        <is>
          <t>SCHWERWIEGEND: Existenz, Standort, Fondsvolumen, Team und Portfolio nicht verifizierbar; moeglicherweise veralteter Listeneintrag oder Namensverwechslung. Vor Outreach manuell pruefen.</t>
        </is>
      </c>
      <c r="W195" s="16" t="inlineStr">
        <is>
          <t>Vor jeder Ansprache Identitaet klaeren (LinkedIn/Handelsregister); erst danach ueber eine Impact-Story zur Labeling-Workforce anknuepfen.</t>
        </is>
      </c>
      <c r="X195" s="18" t="n">
        <v>8</v>
      </c>
      <c r="Y195" s="18" t="n">
        <v>4</v>
      </c>
      <c r="Z195" s="18" t="n">
        <v>0</v>
      </c>
      <c r="AA195" s="18" t="n">
        <v>2</v>
      </c>
      <c r="AB195" s="18" t="n">
        <v>4</v>
      </c>
      <c r="AC195" s="15" t="inlineStr">
        <is>
          <t>Niedrig</t>
        </is>
      </c>
      <c r="AD195" s="15" t="inlineStr">
        <is>
          <t>Bestandsliste</t>
        </is>
      </c>
      <c r="AE195" s="16" t="inlineStr">
        <is>
          <t>n/a (keine verifizierbare Website auffindbar)</t>
        </is>
      </c>
      <c r="AF195" s="16" t="inlineStr">
        <is>
          <t>n/a - Website-Aufrufe (humanimpact.capital, humanimpactcapital.com) fehlgeschlagen, keine belastbare Sekundaerquelle gefunden</t>
        </is>
      </c>
    </row>
    <row r="196">
      <c r="A196" s="27" t="n">
        <v>192</v>
      </c>
      <c r="B196" s="28" t="inlineStr">
        <is>
          <t>neosfer GmbH</t>
        </is>
      </c>
      <c r="C196" s="29" t="inlineStr">
        <is>
          <t>D</t>
        </is>
      </c>
      <c r="D196" s="29" t="n">
        <v>2</v>
      </c>
      <c r="E196" s="15" t="inlineStr">
        <is>
          <t>Frankfurt am Main</t>
        </is>
      </c>
      <c r="F196" s="15" t="inlineStr">
        <is>
          <t>Deutschland</t>
        </is>
      </c>
      <c r="G196" s="15" t="inlineStr">
        <is>
          <t>Corporate VC (Commerzbank-Gruppe)</t>
        </is>
      </c>
      <c r="H196" s="16" t="inlineStr">
        <is>
          <t>ehemals Seed, Series A — aktuell keine</t>
        </is>
      </c>
      <c r="I196" s="15" t="inlineStr">
        <is>
          <t>Nein — keine Investmenttätigkeit mehr</t>
        </is>
      </c>
      <c r="J196" s="16" t="inlineStr">
        <is>
          <t>n/a</t>
        </is>
      </c>
      <c r="K196" s="16" t="inlineStr">
        <is>
          <t>n/a</t>
        </is>
      </c>
      <c r="L196" s="18" t="inlineStr">
        <is>
          <t>Nein</t>
        </is>
      </c>
      <c r="M196" s="16" t="inlineStr">
        <is>
          <t>ehemals Fintech / Digitalisierung im Finanzsektor; These nicht mehr aktiv</t>
        </is>
      </c>
      <c r="N196" s="16" t="inlineStr">
        <is>
          <t>n/a — keine aktuelle Portfolioinformation verfügbar, Website enthält nur noch eine Abschiedsmitteilung</t>
        </is>
      </c>
      <c r="O196" s="16" t="inlineStr">
        <is>
          <t>Keine — Einheit existiert nicht mehr</t>
        </is>
      </c>
      <c r="P196" s="16" t="inlineStr">
        <is>
          <t>-</t>
        </is>
      </c>
      <c r="Q196" s="16" t="inlineStr">
        <is>
          <t>n/a</t>
        </is>
      </c>
      <c r="R196" s="16" t="inlineStr">
        <is>
          <t>n/a</t>
        </is>
      </c>
      <c r="S196" s="16" t="inlineStr">
        <is>
          <t>n/a</t>
        </is>
      </c>
      <c r="T196" s="16" t="inlineStr">
        <is>
          <t>kontakt@neosfer.com (nur noch Restabwicklung)</t>
        </is>
      </c>
      <c r="U196" s="16" t="inlineStr">
        <is>
          <t>neosfer hat den Betrieb zum 30. Juni 2026 vollständig eingestellt und tätigt keine Investments mehr — ein Fit besteht damit nicht.</t>
        </is>
      </c>
      <c r="V196" s="16" t="inlineStr">
        <is>
          <t>Fonds geschlossen: 'neosfer hat den Betrieb zum 30. Juni 2026 eingestellt'; Website enthält nur noch eine Abschiedsbotschaft nach 13 Jahren; Ansprache wäre reine Zeitverschwendung</t>
        </is>
      </c>
      <c r="W196" s="16" t="inlineStr">
        <is>
          <t>Nicht ansprechen — stattdessen prüfen, wohin die ehemaligen neosfer-Investment-Manager gewechselt sind, und diese Personen bei ihrem neuen Fonds kontaktieren.</t>
        </is>
      </c>
      <c r="X196" s="18" t="n">
        <v>0</v>
      </c>
      <c r="Y196" s="18" t="n">
        <v>0</v>
      </c>
      <c r="Z196" s="18" t="n">
        <v>0</v>
      </c>
      <c r="AA196" s="18" t="n">
        <v>0</v>
      </c>
      <c r="AB196" s="18" t="n">
        <v>2</v>
      </c>
      <c r="AC196" s="18" t="inlineStr">
        <is>
          <t>Hoch</t>
        </is>
      </c>
      <c r="AD196" s="15" t="inlineStr">
        <is>
          <t>Bestandsliste</t>
        </is>
      </c>
      <c r="AE196" s="16" t="inlineStr">
        <is>
          <t>https://neosfer.de/</t>
        </is>
      </c>
      <c r="AF196" s="16" t="inlineStr">
        <is>
          <t>https://neosfer.de/</t>
        </is>
      </c>
    </row>
  </sheetData>
  <autoFilter ref="A4:AF196"/>
  <mergeCells count="2">
    <mergeCell ref="A1:AF1"/>
    <mergeCell ref="A2:AF2"/>
  </mergeCells>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D43"/>
  <sheetViews>
    <sheetView workbookViewId="0">
      <selection activeCell="A1" sqref="A1"/>
    </sheetView>
  </sheetViews>
  <sheetFormatPr baseColWidth="8" defaultRowHeight="15"/>
  <cols>
    <col width="36" customWidth="1" min="1" max="1"/>
    <col width="14" customWidth="1" min="2" max="2"/>
  </cols>
  <sheetData>
    <row r="1" ht="28" customHeight="1">
      <c r="A1" s="1" t="inlineStr">
        <is>
          <t>Auswertung</t>
        </is>
      </c>
    </row>
    <row r="2" ht="18" customHeight="1">
      <c r="A2" s="2" t="inlineStr">
        <is>
          <t>Live-Formeln auf Blatt '7 Master'. Die Werte berechnen sich beim Oeffnen in Excel.</t>
        </is>
      </c>
    </row>
    <row r="4" ht="20" customHeight="1">
      <c r="A4" s="3" t="inlineStr">
        <is>
          <t>VERTEILUNG NACH TIER</t>
        </is>
      </c>
    </row>
    <row r="5">
      <c r="A5" s="30" t="inlineStr">
        <is>
          <t>Tier A – Kernziele</t>
        </is>
      </c>
      <c r="B5" s="31">
        <f>COUNTIF('7 Master'!$C$5:$C$196,"A")</f>
        <v/>
      </c>
    </row>
    <row r="6">
      <c r="A6" s="30" t="inlineStr">
        <is>
          <t>Tier B – solide</t>
        </is>
      </c>
      <c r="B6" s="31">
        <f>COUNTIF('7 Master'!$C$5:$C$196,"B")</f>
        <v/>
      </c>
    </row>
    <row r="7">
      <c r="A7" s="30" t="inlineStr">
        <is>
          <t>Tier C – opportunistisch</t>
        </is>
      </c>
      <c r="B7" s="31">
        <f>COUNTIF('7 Master'!$C$5:$C$196,"C")</f>
        <v/>
      </c>
    </row>
    <row r="8">
      <c r="A8" s="30" t="inlineStr">
        <is>
          <t>Tier D – kein Fit</t>
        </is>
      </c>
      <c r="B8" s="31">
        <f>COUNTIF('7 Master'!$C$5:$C$196,"D")</f>
        <v/>
      </c>
    </row>
    <row r="9">
      <c r="A9" s="30" t="inlineStr">
        <is>
          <t>Summe recherchierter VCs</t>
        </is>
      </c>
      <c r="B9" s="31">
        <f>COUNTA('7 Master'!$B$5:$B$196)</f>
        <v/>
      </c>
    </row>
    <row r="11" ht="20" customHeight="1">
      <c r="A11" s="3" t="inlineStr">
        <is>
          <t>SCORE-KENNZAHLEN</t>
        </is>
      </c>
    </row>
    <row r="12">
      <c r="A12" s="30" t="inlineStr">
        <is>
          <t>Hoechster Score</t>
        </is>
      </c>
      <c r="B12" s="31">
        <f>MAX('7 Master'!$D$5:$D$196)</f>
        <v/>
      </c>
    </row>
    <row r="13">
      <c r="A13" s="30" t="inlineStr">
        <is>
          <t>Durchschnitt (alle)</t>
        </is>
      </c>
      <c r="B13" s="31">
        <f>ROUND(AVERAGE('7 Master'!$D$5:$D$196),1)</f>
        <v/>
      </c>
    </row>
    <row r="14">
      <c r="A14" s="30" t="inlineStr">
        <is>
          <t>Durchschnitt Tier A+B</t>
        </is>
      </c>
      <c r="B14" s="31">
        <f>ROUND(SUMPRODUCT(('7 Master'!$C$5:$C$196="A")+('7 Master'!$C$5:$C$196="B"),'7 Master'!$D$5:$D$196)/MAX(1,COUNTIF('7 Master'!$C$5:$C$196,"A")+COUNTIF('7 Master'!$C$5:$C$196,"B")),1)</f>
        <v/>
      </c>
    </row>
    <row r="15">
      <c r="A15" s="30" t="inlineStr">
        <is>
          <t>Median</t>
        </is>
      </c>
      <c r="B15" s="31">
        <f>ROUND(MEDIAN('7 Master'!$D$5:$D$196),1)</f>
        <v/>
      </c>
    </row>
    <row r="17" ht="20" customHeight="1">
      <c r="A17" s="3" t="inlineStr">
        <is>
          <t>AI / DATA-FOKUS</t>
        </is>
      </c>
    </row>
    <row r="18">
      <c r="A18" s="30" t="inlineStr">
        <is>
          <t>Ja – expliziter AI/Data-Fokus</t>
        </is>
      </c>
      <c r="B18" s="31">
        <f>COUNTIF('7 Master'!$L$5:$L$196,"Ja")</f>
        <v/>
      </c>
    </row>
    <row r="19">
      <c r="A19" s="30" t="inlineStr">
        <is>
          <t>Teilweise</t>
        </is>
      </c>
      <c r="B19" s="31">
        <f>COUNTIF('7 Master'!$L$5:$L$196,"Teilweise")</f>
        <v/>
      </c>
    </row>
    <row r="20">
      <c r="A20" s="30" t="inlineStr">
        <is>
          <t>Nein</t>
        </is>
      </c>
      <c r="B20" s="31">
        <f>COUNTIF('7 Master'!$L$5:$L$196,"Nein")</f>
        <v/>
      </c>
    </row>
    <row r="22" ht="20" customHeight="1">
      <c r="A22" s="3" t="inlineStr">
        <is>
          <t>GEOGRAFIE (Top-Maerkte)</t>
        </is>
      </c>
    </row>
    <row r="23">
      <c r="A23" s="30" t="inlineStr">
        <is>
          <t>Deutschland (DE)</t>
        </is>
      </c>
      <c r="B23" s="31">
        <f>COUNTIF('7 Master'!$F$5:$F$196,"DE")</f>
        <v/>
      </c>
    </row>
    <row r="24">
      <c r="A24" s="30" t="inlineStr">
        <is>
          <t>UK</t>
        </is>
      </c>
      <c r="B24" s="31">
        <f>COUNTIF('7 Master'!$F$5:$F$196,"UK")</f>
        <v/>
      </c>
    </row>
    <row r="25">
      <c r="A25" s="30" t="inlineStr">
        <is>
          <t>Frankreich (FR)</t>
        </is>
      </c>
      <c r="B25" s="31">
        <f>COUNTIF('7 Master'!$F$5:$F$196,"FR")</f>
        <v/>
      </c>
    </row>
    <row r="26">
      <c r="A26" s="30" t="inlineStr">
        <is>
          <t>Schweiz (CH)</t>
        </is>
      </c>
      <c r="B26" s="31">
        <f>COUNTIF('7 Master'!$F$5:$F$196,"CH")</f>
        <v/>
      </c>
    </row>
    <row r="27">
      <c r="A27" s="30" t="inlineStr">
        <is>
          <t>Oesterreich (AT)</t>
        </is>
      </c>
      <c r="B27" s="31">
        <f>COUNTIF('7 Master'!$F$5:$F$196,"AT")</f>
        <v/>
      </c>
    </row>
    <row r="29" ht="20" customHeight="1">
      <c r="A29" s="3" t="inlineStr">
        <is>
          <t>LABELING-NAEHE DES PORTFOLIOS</t>
        </is>
      </c>
    </row>
    <row r="30">
      <c r="A30" s="30" t="inlineStr">
        <is>
          <t>Direktes Labeling-Investment</t>
        </is>
      </c>
      <c r="B30" s="31">
        <f>COUNTIF('7 Master'!$P$5:$P$196,"DIREKT*")</f>
        <v/>
      </c>
    </row>
    <row r="31">
      <c r="A31" s="30" t="inlineStr">
        <is>
          <t>Data-Infra-nah</t>
        </is>
      </c>
      <c r="B31" s="31">
        <f>COUNTIF('7 Master'!$P$5:$P$196,"Data-Infra-nah")</f>
        <v/>
      </c>
    </row>
    <row r="32">
      <c r="A32" s="30" t="inlineStr">
        <is>
          <t>Kein erkennbarer Bezug</t>
        </is>
      </c>
      <c r="B32" s="31">
        <f>COUNTIF('7 Master'!$P$5:$P$196,"-")</f>
        <v/>
      </c>
    </row>
    <row r="34" ht="20" customHeight="1">
      <c r="A34" s="3" t="inlineStr">
        <is>
          <t>HERKUNFT DER EINTRAEGE</t>
        </is>
      </c>
    </row>
    <row r="35">
      <c r="A35" s="30" t="inlineStr">
        <is>
          <t>Aus den Bestandslisten</t>
        </is>
      </c>
      <c r="B35" s="31">
        <f>COUNTIF('7 Master'!$AD$5:$AD$196,"Bestandsliste")</f>
        <v/>
      </c>
    </row>
    <row r="36">
      <c r="A36" s="30" t="inlineStr">
        <is>
          <t>Neu hinzurecherchiert</t>
        </is>
      </c>
      <c r="B36" s="31">
        <f>COUNTIF('7 Master'!$AD$5:$AD$196,"NEU*")</f>
        <v/>
      </c>
    </row>
    <row r="38" ht="20" customHeight="1">
      <c r="A38" s="3" t="inlineStr">
        <is>
          <t>DATENQUALITAET</t>
        </is>
      </c>
    </row>
    <row r="39">
      <c r="A39" s="30" t="inlineStr">
        <is>
          <t>Konfidenz Hoch</t>
        </is>
      </c>
      <c r="B39" s="31">
        <f>COUNTIF('7 Master'!$AC$5:$AC$196,"Hoch")</f>
        <v/>
      </c>
    </row>
    <row r="40">
      <c r="A40" s="30" t="inlineStr">
        <is>
          <t>Konfidenz Mittel</t>
        </is>
      </c>
      <c r="B40" s="31">
        <f>COUNTIF('7 Master'!$AC$5:$AC$196,"Mittel")</f>
        <v/>
      </c>
    </row>
    <row r="41">
      <c r="A41" s="30" t="inlineStr">
        <is>
          <t>Konfidenz Niedrig</t>
        </is>
      </c>
      <c r="B41" s="31">
        <f>COUNTIF('7 Master'!$AC$5:$AC$196,"Niedrig")</f>
        <v/>
      </c>
    </row>
    <row r="43">
      <c r="A43" s="32" t="inlineStr">
        <is>
          <t>Hinweis: Alle Werte sind Live-Formeln. Beim Filtern des Master-Blatts bleiben sie unveraendert – sie rechnen ueber den gesamten Datensatz.</t>
        </is>
      </c>
    </row>
  </sheetData>
  <mergeCells count="9">
    <mergeCell ref="A4:B4"/>
    <mergeCell ref="A1:D1"/>
    <mergeCell ref="A38:B38"/>
    <mergeCell ref="A29:B29"/>
    <mergeCell ref="A11:B11"/>
    <mergeCell ref="A2:D2"/>
    <mergeCell ref="A17:B17"/>
    <mergeCell ref="A22:B22"/>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2026-07-28T19:14:26Z</dcterms:created>
  <dcterms:modified xsi:type="dcterms:W3CDTF">2026-07-28T19:14:27Z</dcterms:modified>
</cp:coreProperties>
</file>